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VPL-NgocAnh\Desktop\Tools\BAOCAOCANHANG\"/>
    </mc:Choice>
  </mc:AlternateContent>
  <xr:revisionPtr revIDLastSave="0" documentId="13_ncr:1_{2346B91D-C13F-4CD2-9013-95DAA5E8B5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ồ sơ phương tiện" sheetId="2" r:id="rId1"/>
    <sheet name="Nhật ký vào, rời" sheetId="4" r:id="rId2"/>
    <sheet name="Dashboard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A9" i="2"/>
  <c r="N9" i="2"/>
  <c r="J46" i="4" s="1"/>
  <c r="L46" i="4" s="1"/>
  <c r="O9" i="2"/>
  <c r="P9" i="2"/>
  <c r="Q9" i="2"/>
  <c r="S9" i="2"/>
  <c r="U9" i="2"/>
  <c r="V9" i="2"/>
  <c r="X9" i="2"/>
  <c r="K24" i="4" s="1"/>
  <c r="A10" i="2"/>
  <c r="N10" i="2"/>
  <c r="O10" i="2"/>
  <c r="P10" i="2"/>
  <c r="Q10" i="2"/>
  <c r="S10" i="2"/>
  <c r="U10" i="2"/>
  <c r="V10" i="2"/>
  <c r="X10" i="2"/>
  <c r="A11" i="2"/>
  <c r="N11" i="2"/>
  <c r="O11" i="2"/>
  <c r="P11" i="2"/>
  <c r="Q11" i="2"/>
  <c r="S11" i="2"/>
  <c r="U11" i="2"/>
  <c r="V11" i="2"/>
  <c r="X11" i="2"/>
  <c r="A12" i="2"/>
  <c r="N12" i="2"/>
  <c r="O12" i="2"/>
  <c r="P12" i="2"/>
  <c r="Q12" i="2"/>
  <c r="S12" i="2"/>
  <c r="U12" i="2"/>
  <c r="V12" i="2"/>
  <c r="X12" i="2"/>
  <c r="A13" i="2"/>
  <c r="N13" i="2"/>
  <c r="O13" i="2"/>
  <c r="P13" i="2"/>
  <c r="Q13" i="2"/>
  <c r="S13" i="2"/>
  <c r="U13" i="2"/>
  <c r="V13" i="2"/>
  <c r="X13" i="2"/>
  <c r="A14" i="2"/>
  <c r="N14" i="2"/>
  <c r="O14" i="2"/>
  <c r="P14" i="2"/>
  <c r="Q14" i="2"/>
  <c r="S14" i="2"/>
  <c r="U14" i="2"/>
  <c r="V14" i="2"/>
  <c r="X14" i="2"/>
  <c r="A15" i="2"/>
  <c r="N15" i="2"/>
  <c r="O15" i="2"/>
  <c r="P15" i="2"/>
  <c r="Q15" i="2"/>
  <c r="S15" i="2"/>
  <c r="U15" i="2"/>
  <c r="V15" i="2"/>
  <c r="X15" i="2"/>
  <c r="A16" i="2"/>
  <c r="N16" i="2"/>
  <c r="O16" i="2"/>
  <c r="P16" i="2"/>
  <c r="Q16" i="2"/>
  <c r="S16" i="2"/>
  <c r="U16" i="2"/>
  <c r="V16" i="2"/>
  <c r="X16" i="2"/>
  <c r="A17" i="2"/>
  <c r="N17" i="2"/>
  <c r="O17" i="2"/>
  <c r="P17" i="2"/>
  <c r="Q17" i="2"/>
  <c r="S17" i="2"/>
  <c r="U17" i="2"/>
  <c r="V17" i="2"/>
  <c r="X17" i="2"/>
  <c r="A18" i="2"/>
  <c r="N18" i="2"/>
  <c r="O18" i="2"/>
  <c r="P18" i="2"/>
  <c r="Q18" i="2"/>
  <c r="S18" i="2"/>
  <c r="U18" i="2"/>
  <c r="V18" i="2"/>
  <c r="X18" i="2"/>
  <c r="A19" i="2"/>
  <c r="N19" i="2"/>
  <c r="O19" i="2"/>
  <c r="P19" i="2"/>
  <c r="Q19" i="2"/>
  <c r="S19" i="2"/>
  <c r="U19" i="2"/>
  <c r="V19" i="2"/>
  <c r="X19" i="2"/>
  <c r="A20" i="2"/>
  <c r="N20" i="2"/>
  <c r="O20" i="2"/>
  <c r="P20" i="2"/>
  <c r="Q20" i="2"/>
  <c r="S20" i="2"/>
  <c r="U20" i="2"/>
  <c r="V20" i="2"/>
  <c r="X20" i="2"/>
  <c r="A21" i="2"/>
  <c r="N21" i="2"/>
  <c r="O21" i="2"/>
  <c r="P21" i="2"/>
  <c r="Q21" i="2"/>
  <c r="S21" i="2"/>
  <c r="U21" i="2"/>
  <c r="V21" i="2"/>
  <c r="X21" i="2"/>
  <c r="A22" i="2"/>
  <c r="N22" i="2"/>
  <c r="O22" i="2"/>
  <c r="P22" i="2"/>
  <c r="Q22" i="2"/>
  <c r="S22" i="2"/>
  <c r="U22" i="2"/>
  <c r="V22" i="2"/>
  <c r="X22" i="2"/>
  <c r="A23" i="2"/>
  <c r="N23" i="2"/>
  <c r="O23" i="2"/>
  <c r="P23" i="2"/>
  <c r="Q23" i="2"/>
  <c r="S23" i="2"/>
  <c r="U23" i="2"/>
  <c r="V23" i="2"/>
  <c r="X23" i="2"/>
  <c r="A24" i="2"/>
  <c r="N24" i="2"/>
  <c r="O24" i="2"/>
  <c r="P24" i="2"/>
  <c r="Q24" i="2"/>
  <c r="S24" i="2"/>
  <c r="U24" i="2"/>
  <c r="V24" i="2"/>
  <c r="X24" i="2"/>
  <c r="A25" i="2"/>
  <c r="N25" i="2"/>
  <c r="O25" i="2"/>
  <c r="P25" i="2"/>
  <c r="Q25" i="2"/>
  <c r="S25" i="2"/>
  <c r="U25" i="2"/>
  <c r="V25" i="2"/>
  <c r="X25" i="2"/>
  <c r="A26" i="2"/>
  <c r="N26" i="2"/>
  <c r="O26" i="2"/>
  <c r="P26" i="2"/>
  <c r="Q26" i="2"/>
  <c r="S26" i="2"/>
  <c r="U26" i="2"/>
  <c r="V26" i="2"/>
  <c r="X26" i="2"/>
  <c r="A27" i="2"/>
  <c r="N27" i="2"/>
  <c r="O27" i="2"/>
  <c r="P27" i="2"/>
  <c r="Q27" i="2"/>
  <c r="S27" i="2"/>
  <c r="U27" i="2"/>
  <c r="V27" i="2"/>
  <c r="X27" i="2"/>
  <c r="A28" i="2"/>
  <c r="N28" i="2"/>
  <c r="O28" i="2"/>
  <c r="P28" i="2"/>
  <c r="Q28" i="2"/>
  <c r="S28" i="2"/>
  <c r="U28" i="2"/>
  <c r="V28" i="2"/>
  <c r="X28" i="2"/>
  <c r="A29" i="2"/>
  <c r="N29" i="2"/>
  <c r="O29" i="2"/>
  <c r="P29" i="2"/>
  <c r="Q29" i="2"/>
  <c r="S29" i="2"/>
  <c r="U29" i="2"/>
  <c r="V29" i="2"/>
  <c r="X29" i="2"/>
  <c r="A30" i="2"/>
  <c r="N30" i="2"/>
  <c r="O30" i="2"/>
  <c r="P30" i="2"/>
  <c r="Q30" i="2"/>
  <c r="S30" i="2"/>
  <c r="U30" i="2"/>
  <c r="V30" i="2"/>
  <c r="X30" i="2"/>
  <c r="A31" i="2"/>
  <c r="N31" i="2"/>
  <c r="O31" i="2"/>
  <c r="P31" i="2"/>
  <c r="Q31" i="2"/>
  <c r="S31" i="2"/>
  <c r="U31" i="2"/>
  <c r="V31" i="2"/>
  <c r="X31" i="2"/>
  <c r="A32" i="2"/>
  <c r="N32" i="2"/>
  <c r="O32" i="2"/>
  <c r="P32" i="2"/>
  <c r="Q32" i="2"/>
  <c r="S32" i="2"/>
  <c r="U32" i="2"/>
  <c r="V32" i="2"/>
  <c r="X32" i="2"/>
  <c r="A33" i="2"/>
  <c r="N33" i="2"/>
  <c r="O33" i="2"/>
  <c r="P33" i="2"/>
  <c r="Q33" i="2"/>
  <c r="S33" i="2"/>
  <c r="U33" i="2"/>
  <c r="V33" i="2"/>
  <c r="X33" i="2"/>
  <c r="A34" i="2"/>
  <c r="N34" i="2"/>
  <c r="O34" i="2"/>
  <c r="P34" i="2"/>
  <c r="Q34" i="2"/>
  <c r="S34" i="2"/>
  <c r="U34" i="2"/>
  <c r="V34" i="2"/>
  <c r="X34" i="2"/>
  <c r="A35" i="2"/>
  <c r="N35" i="2"/>
  <c r="O35" i="2"/>
  <c r="P35" i="2"/>
  <c r="Q35" i="2"/>
  <c r="S35" i="2"/>
  <c r="U35" i="2"/>
  <c r="V35" i="2"/>
  <c r="X35" i="2"/>
  <c r="A36" i="2"/>
  <c r="N36" i="2"/>
  <c r="O36" i="2"/>
  <c r="P36" i="2"/>
  <c r="Q36" i="2"/>
  <c r="S36" i="2"/>
  <c r="U36" i="2"/>
  <c r="V36" i="2"/>
  <c r="X36" i="2"/>
  <c r="A37" i="2"/>
  <c r="N37" i="2"/>
  <c r="O37" i="2"/>
  <c r="P37" i="2"/>
  <c r="Q37" i="2"/>
  <c r="S37" i="2"/>
  <c r="U37" i="2"/>
  <c r="V37" i="2"/>
  <c r="X37" i="2"/>
  <c r="A38" i="2"/>
  <c r="N38" i="2"/>
  <c r="O38" i="2"/>
  <c r="P38" i="2"/>
  <c r="Q38" i="2"/>
  <c r="S38" i="2"/>
  <c r="U38" i="2"/>
  <c r="V38" i="2"/>
  <c r="X38" i="2"/>
  <c r="A39" i="2"/>
  <c r="N39" i="2"/>
  <c r="O39" i="2"/>
  <c r="P39" i="2"/>
  <c r="Q39" i="2"/>
  <c r="S39" i="2"/>
  <c r="U39" i="2"/>
  <c r="V39" i="2"/>
  <c r="X39" i="2"/>
  <c r="A40" i="2"/>
  <c r="N40" i="2"/>
  <c r="O40" i="2"/>
  <c r="P40" i="2"/>
  <c r="Q40" i="2"/>
  <c r="S40" i="2"/>
  <c r="U40" i="2"/>
  <c r="V40" i="2"/>
  <c r="X40" i="2"/>
  <c r="A41" i="2"/>
  <c r="N41" i="2"/>
  <c r="O41" i="2"/>
  <c r="P41" i="2"/>
  <c r="Q41" i="2"/>
  <c r="S41" i="2"/>
  <c r="U41" i="2"/>
  <c r="V41" i="2"/>
  <c r="X41" i="2"/>
  <c r="A42" i="2"/>
  <c r="N42" i="2"/>
  <c r="O42" i="2"/>
  <c r="P42" i="2"/>
  <c r="Q42" i="2"/>
  <c r="S42" i="2"/>
  <c r="U42" i="2"/>
  <c r="V42" i="2"/>
  <c r="X42" i="2"/>
  <c r="A43" i="2"/>
  <c r="N43" i="2"/>
  <c r="O43" i="2"/>
  <c r="P43" i="2"/>
  <c r="Q43" i="2"/>
  <c r="S43" i="2"/>
  <c r="U43" i="2"/>
  <c r="V43" i="2"/>
  <c r="X43" i="2"/>
  <c r="A44" i="2"/>
  <c r="N44" i="2"/>
  <c r="O44" i="2"/>
  <c r="P44" i="2"/>
  <c r="Q44" i="2"/>
  <c r="S44" i="2"/>
  <c r="U44" i="2"/>
  <c r="V44" i="2"/>
  <c r="X44" i="2"/>
  <c r="A45" i="2"/>
  <c r="N45" i="2"/>
  <c r="O45" i="2"/>
  <c r="P45" i="2"/>
  <c r="Q45" i="2"/>
  <c r="S45" i="2"/>
  <c r="U45" i="2"/>
  <c r="V45" i="2"/>
  <c r="X45" i="2"/>
  <c r="A46" i="2"/>
  <c r="N46" i="2"/>
  <c r="O46" i="2"/>
  <c r="P46" i="2"/>
  <c r="Q46" i="2"/>
  <c r="S46" i="2"/>
  <c r="U46" i="2"/>
  <c r="V46" i="2"/>
  <c r="X46" i="2"/>
  <c r="A47" i="2"/>
  <c r="N47" i="2"/>
  <c r="O47" i="2"/>
  <c r="P47" i="2"/>
  <c r="Q47" i="2"/>
  <c r="S47" i="2"/>
  <c r="U47" i="2"/>
  <c r="V47" i="2"/>
  <c r="X47" i="2"/>
  <c r="A48" i="2"/>
  <c r="N48" i="2"/>
  <c r="O48" i="2"/>
  <c r="P48" i="2"/>
  <c r="Q48" i="2"/>
  <c r="S48" i="2"/>
  <c r="U48" i="2"/>
  <c r="V48" i="2"/>
  <c r="X48" i="2"/>
  <c r="A49" i="2"/>
  <c r="N49" i="2"/>
  <c r="O49" i="2"/>
  <c r="P49" i="2"/>
  <c r="Q49" i="2"/>
  <c r="S49" i="2"/>
  <c r="U49" i="2"/>
  <c r="V49" i="2"/>
  <c r="X49" i="2"/>
  <c r="A50" i="2"/>
  <c r="N50" i="2"/>
  <c r="O50" i="2"/>
  <c r="P50" i="2"/>
  <c r="Q50" i="2"/>
  <c r="S50" i="2"/>
  <c r="U50" i="2"/>
  <c r="V50" i="2"/>
  <c r="X50" i="2"/>
  <c r="A51" i="2"/>
  <c r="N51" i="2"/>
  <c r="O51" i="2"/>
  <c r="P51" i="2"/>
  <c r="Q51" i="2"/>
  <c r="S51" i="2"/>
  <c r="U51" i="2"/>
  <c r="V51" i="2"/>
  <c r="X51" i="2"/>
  <c r="A52" i="2"/>
  <c r="N52" i="2"/>
  <c r="O52" i="2"/>
  <c r="P52" i="2"/>
  <c r="Q52" i="2"/>
  <c r="S52" i="2"/>
  <c r="U52" i="2"/>
  <c r="V52" i="2"/>
  <c r="X52" i="2"/>
  <c r="A53" i="2"/>
  <c r="N53" i="2"/>
  <c r="O53" i="2"/>
  <c r="P53" i="2"/>
  <c r="Q53" i="2"/>
  <c r="S53" i="2"/>
  <c r="U53" i="2"/>
  <c r="V53" i="2"/>
  <c r="X53" i="2"/>
  <c r="A54" i="2"/>
  <c r="N54" i="2"/>
  <c r="O54" i="2"/>
  <c r="P54" i="2"/>
  <c r="Q54" i="2"/>
  <c r="S54" i="2"/>
  <c r="U54" i="2"/>
  <c r="V54" i="2"/>
  <c r="X54" i="2"/>
  <c r="A55" i="2"/>
  <c r="N55" i="2"/>
  <c r="O55" i="2"/>
  <c r="P55" i="2"/>
  <c r="Q55" i="2"/>
  <c r="S55" i="2"/>
  <c r="U55" i="2"/>
  <c r="V55" i="2"/>
  <c r="X55" i="2"/>
  <c r="A56" i="2"/>
  <c r="N56" i="2"/>
  <c r="O56" i="2"/>
  <c r="P56" i="2"/>
  <c r="Q56" i="2"/>
  <c r="S56" i="2"/>
  <c r="U56" i="2"/>
  <c r="V56" i="2"/>
  <c r="X56" i="2"/>
  <c r="A57" i="2"/>
  <c r="N57" i="2"/>
  <c r="O57" i="2"/>
  <c r="P57" i="2"/>
  <c r="Q57" i="2"/>
  <c r="S57" i="2"/>
  <c r="U57" i="2"/>
  <c r="V57" i="2"/>
  <c r="X57" i="2"/>
  <c r="A58" i="2"/>
  <c r="N58" i="2"/>
  <c r="O58" i="2"/>
  <c r="P58" i="2"/>
  <c r="Q58" i="2"/>
  <c r="S58" i="2"/>
  <c r="U58" i="2"/>
  <c r="V58" i="2"/>
  <c r="X58" i="2"/>
  <c r="A59" i="2"/>
  <c r="N59" i="2"/>
  <c r="O59" i="2"/>
  <c r="P59" i="2"/>
  <c r="Q59" i="2"/>
  <c r="S59" i="2"/>
  <c r="U59" i="2"/>
  <c r="V59" i="2"/>
  <c r="X59" i="2"/>
  <c r="A60" i="2"/>
  <c r="N60" i="2"/>
  <c r="O60" i="2"/>
  <c r="P60" i="2"/>
  <c r="Q60" i="2"/>
  <c r="S60" i="2"/>
  <c r="U60" i="2"/>
  <c r="V60" i="2"/>
  <c r="X60" i="2"/>
  <c r="A61" i="2"/>
  <c r="N61" i="2"/>
  <c r="O61" i="2"/>
  <c r="P61" i="2"/>
  <c r="Q61" i="2"/>
  <c r="S61" i="2"/>
  <c r="U61" i="2"/>
  <c r="V61" i="2"/>
  <c r="X61" i="2"/>
  <c r="A62" i="2"/>
  <c r="N62" i="2"/>
  <c r="O62" i="2"/>
  <c r="P62" i="2"/>
  <c r="Q62" i="2"/>
  <c r="S62" i="2"/>
  <c r="U62" i="2"/>
  <c r="V62" i="2"/>
  <c r="X62" i="2"/>
  <c r="A63" i="2"/>
  <c r="N63" i="2"/>
  <c r="O63" i="2"/>
  <c r="P63" i="2"/>
  <c r="Q63" i="2"/>
  <c r="S63" i="2"/>
  <c r="U63" i="2"/>
  <c r="V63" i="2"/>
  <c r="X63" i="2"/>
  <c r="A64" i="2"/>
  <c r="N64" i="2"/>
  <c r="O64" i="2"/>
  <c r="P64" i="2"/>
  <c r="Q64" i="2"/>
  <c r="S64" i="2"/>
  <c r="U64" i="2"/>
  <c r="V64" i="2"/>
  <c r="X64" i="2"/>
  <c r="A65" i="2"/>
  <c r="N65" i="2"/>
  <c r="O65" i="2"/>
  <c r="P65" i="2"/>
  <c r="Q65" i="2"/>
  <c r="S65" i="2"/>
  <c r="U65" i="2"/>
  <c r="V65" i="2"/>
  <c r="X65" i="2"/>
  <c r="A66" i="2"/>
  <c r="N66" i="2"/>
  <c r="O66" i="2"/>
  <c r="P66" i="2"/>
  <c r="Q66" i="2"/>
  <c r="S66" i="2"/>
  <c r="U66" i="2"/>
  <c r="V66" i="2"/>
  <c r="X66" i="2"/>
  <c r="A67" i="2"/>
  <c r="N67" i="2"/>
  <c r="O67" i="2"/>
  <c r="P67" i="2"/>
  <c r="Q67" i="2"/>
  <c r="S67" i="2"/>
  <c r="U67" i="2"/>
  <c r="V67" i="2"/>
  <c r="X67" i="2"/>
  <c r="A68" i="2"/>
  <c r="N68" i="2"/>
  <c r="O68" i="2"/>
  <c r="P68" i="2"/>
  <c r="Q68" i="2"/>
  <c r="S68" i="2"/>
  <c r="U68" i="2"/>
  <c r="V68" i="2"/>
  <c r="X68" i="2"/>
  <c r="A69" i="2"/>
  <c r="N69" i="2"/>
  <c r="O69" i="2"/>
  <c r="P69" i="2"/>
  <c r="Q69" i="2"/>
  <c r="S69" i="2"/>
  <c r="U69" i="2"/>
  <c r="V69" i="2"/>
  <c r="X69" i="2"/>
  <c r="A70" i="2"/>
  <c r="N70" i="2"/>
  <c r="O70" i="2"/>
  <c r="P70" i="2"/>
  <c r="Q70" i="2"/>
  <c r="S70" i="2"/>
  <c r="U70" i="2"/>
  <c r="V70" i="2"/>
  <c r="X70" i="2"/>
  <c r="A71" i="2"/>
  <c r="N71" i="2"/>
  <c r="O71" i="2"/>
  <c r="P71" i="2"/>
  <c r="Q71" i="2"/>
  <c r="S71" i="2"/>
  <c r="U71" i="2"/>
  <c r="V71" i="2"/>
  <c r="X71" i="2"/>
  <c r="A72" i="2"/>
  <c r="N72" i="2"/>
  <c r="O72" i="2"/>
  <c r="P72" i="2"/>
  <c r="Q72" i="2"/>
  <c r="S72" i="2"/>
  <c r="U72" i="2"/>
  <c r="V72" i="2"/>
  <c r="X72" i="2"/>
  <c r="A73" i="2"/>
  <c r="N73" i="2"/>
  <c r="O73" i="2"/>
  <c r="P73" i="2"/>
  <c r="Q73" i="2"/>
  <c r="S73" i="2"/>
  <c r="U73" i="2"/>
  <c r="V73" i="2"/>
  <c r="X73" i="2"/>
  <c r="A74" i="2"/>
  <c r="N74" i="2"/>
  <c r="O74" i="2"/>
  <c r="P74" i="2"/>
  <c r="Q74" i="2"/>
  <c r="S74" i="2"/>
  <c r="U74" i="2"/>
  <c r="V74" i="2"/>
  <c r="X74" i="2"/>
  <c r="A75" i="2"/>
  <c r="N75" i="2"/>
  <c r="O75" i="2"/>
  <c r="P75" i="2"/>
  <c r="Q75" i="2"/>
  <c r="S75" i="2"/>
  <c r="U75" i="2"/>
  <c r="V75" i="2"/>
  <c r="X75" i="2"/>
  <c r="A76" i="2"/>
  <c r="N76" i="2"/>
  <c r="O76" i="2"/>
  <c r="P76" i="2"/>
  <c r="Q76" i="2"/>
  <c r="S76" i="2"/>
  <c r="U76" i="2"/>
  <c r="V76" i="2"/>
  <c r="X76" i="2"/>
  <c r="A77" i="2"/>
  <c r="N77" i="2"/>
  <c r="O77" i="2"/>
  <c r="P77" i="2"/>
  <c r="Q77" i="2"/>
  <c r="S77" i="2"/>
  <c r="U77" i="2"/>
  <c r="V77" i="2"/>
  <c r="X77" i="2"/>
  <c r="A78" i="2"/>
  <c r="N78" i="2"/>
  <c r="O78" i="2"/>
  <c r="P78" i="2"/>
  <c r="Q78" i="2"/>
  <c r="S78" i="2"/>
  <c r="U78" i="2"/>
  <c r="V78" i="2"/>
  <c r="X78" i="2"/>
  <c r="A79" i="2"/>
  <c r="N79" i="2"/>
  <c r="O79" i="2"/>
  <c r="P79" i="2"/>
  <c r="Q79" i="2"/>
  <c r="S79" i="2"/>
  <c r="U79" i="2"/>
  <c r="V79" i="2"/>
  <c r="X79" i="2"/>
  <c r="A80" i="2"/>
  <c r="N80" i="2"/>
  <c r="O80" i="2"/>
  <c r="P80" i="2"/>
  <c r="Q80" i="2"/>
  <c r="S80" i="2"/>
  <c r="U80" i="2"/>
  <c r="V80" i="2"/>
  <c r="X80" i="2"/>
  <c r="A81" i="2"/>
  <c r="N81" i="2"/>
  <c r="O81" i="2"/>
  <c r="P81" i="2"/>
  <c r="Q81" i="2"/>
  <c r="S81" i="2"/>
  <c r="U81" i="2"/>
  <c r="V81" i="2"/>
  <c r="X81" i="2"/>
  <c r="A82" i="2"/>
  <c r="N82" i="2"/>
  <c r="O82" i="2"/>
  <c r="P82" i="2"/>
  <c r="Q82" i="2"/>
  <c r="S82" i="2"/>
  <c r="U82" i="2"/>
  <c r="V82" i="2"/>
  <c r="X82" i="2"/>
  <c r="A83" i="2"/>
  <c r="N83" i="2"/>
  <c r="O83" i="2"/>
  <c r="P83" i="2"/>
  <c r="Q83" i="2"/>
  <c r="S83" i="2"/>
  <c r="U83" i="2"/>
  <c r="V83" i="2"/>
  <c r="X83" i="2"/>
  <c r="A84" i="2"/>
  <c r="N84" i="2"/>
  <c r="O84" i="2"/>
  <c r="P84" i="2"/>
  <c r="Q84" i="2"/>
  <c r="S84" i="2"/>
  <c r="U84" i="2"/>
  <c r="V84" i="2"/>
  <c r="X84" i="2"/>
  <c r="A85" i="2"/>
  <c r="N85" i="2"/>
  <c r="O85" i="2"/>
  <c r="P85" i="2"/>
  <c r="Q85" i="2"/>
  <c r="S85" i="2"/>
  <c r="U85" i="2"/>
  <c r="V85" i="2"/>
  <c r="X85" i="2"/>
  <c r="A86" i="2"/>
  <c r="N86" i="2"/>
  <c r="O86" i="2"/>
  <c r="P86" i="2"/>
  <c r="Q86" i="2"/>
  <c r="S86" i="2"/>
  <c r="U86" i="2"/>
  <c r="V86" i="2"/>
  <c r="X86" i="2"/>
  <c r="A87" i="2"/>
  <c r="N87" i="2"/>
  <c r="O87" i="2"/>
  <c r="P87" i="2"/>
  <c r="Q87" i="2"/>
  <c r="S87" i="2"/>
  <c r="U87" i="2"/>
  <c r="V87" i="2"/>
  <c r="X87" i="2"/>
  <c r="A88" i="2"/>
  <c r="N88" i="2"/>
  <c r="O88" i="2"/>
  <c r="P88" i="2"/>
  <c r="Q88" i="2"/>
  <c r="S88" i="2"/>
  <c r="U88" i="2"/>
  <c r="V88" i="2"/>
  <c r="X88" i="2"/>
  <c r="A89" i="2"/>
  <c r="N89" i="2"/>
  <c r="O89" i="2"/>
  <c r="P89" i="2"/>
  <c r="Q89" i="2"/>
  <c r="S89" i="2"/>
  <c r="U89" i="2"/>
  <c r="V89" i="2"/>
  <c r="X89" i="2"/>
  <c r="A90" i="2"/>
  <c r="N90" i="2"/>
  <c r="O90" i="2"/>
  <c r="P90" i="2"/>
  <c r="Q90" i="2"/>
  <c r="S90" i="2"/>
  <c r="U90" i="2"/>
  <c r="V90" i="2"/>
  <c r="X90" i="2"/>
  <c r="A91" i="2"/>
  <c r="N91" i="2"/>
  <c r="O91" i="2"/>
  <c r="P91" i="2"/>
  <c r="Q91" i="2"/>
  <c r="S91" i="2"/>
  <c r="U91" i="2"/>
  <c r="V91" i="2"/>
  <c r="X91" i="2"/>
  <c r="A92" i="2"/>
  <c r="N92" i="2"/>
  <c r="O92" i="2"/>
  <c r="P92" i="2"/>
  <c r="Q92" i="2"/>
  <c r="S92" i="2"/>
  <c r="U92" i="2"/>
  <c r="V92" i="2"/>
  <c r="X92" i="2"/>
  <c r="A93" i="2"/>
  <c r="N93" i="2"/>
  <c r="O93" i="2"/>
  <c r="P93" i="2"/>
  <c r="Q93" i="2"/>
  <c r="S93" i="2"/>
  <c r="U93" i="2"/>
  <c r="V93" i="2"/>
  <c r="X93" i="2"/>
  <c r="A94" i="2"/>
  <c r="N94" i="2"/>
  <c r="O94" i="2"/>
  <c r="P94" i="2"/>
  <c r="Q94" i="2"/>
  <c r="S94" i="2"/>
  <c r="U94" i="2"/>
  <c r="V94" i="2"/>
  <c r="X94" i="2"/>
  <c r="A95" i="2"/>
  <c r="N95" i="2"/>
  <c r="O95" i="2"/>
  <c r="P95" i="2"/>
  <c r="Q95" i="2"/>
  <c r="S95" i="2"/>
  <c r="U95" i="2"/>
  <c r="V95" i="2"/>
  <c r="X95" i="2"/>
  <c r="A96" i="2"/>
  <c r="N96" i="2"/>
  <c r="O96" i="2"/>
  <c r="P96" i="2"/>
  <c r="Q96" i="2"/>
  <c r="S96" i="2"/>
  <c r="U96" i="2"/>
  <c r="V96" i="2"/>
  <c r="X96" i="2"/>
  <c r="A97" i="2"/>
  <c r="N97" i="2"/>
  <c r="O97" i="2"/>
  <c r="P97" i="2"/>
  <c r="Q97" i="2"/>
  <c r="S97" i="2"/>
  <c r="U97" i="2"/>
  <c r="V97" i="2"/>
  <c r="X97" i="2"/>
  <c r="A98" i="2"/>
  <c r="N98" i="2"/>
  <c r="O98" i="2"/>
  <c r="P98" i="2"/>
  <c r="Q98" i="2"/>
  <c r="S98" i="2"/>
  <c r="U98" i="2"/>
  <c r="V98" i="2"/>
  <c r="X98" i="2"/>
  <c r="A99" i="2"/>
  <c r="N99" i="2"/>
  <c r="O99" i="2"/>
  <c r="P99" i="2"/>
  <c r="Q99" i="2"/>
  <c r="S99" i="2"/>
  <c r="U99" i="2"/>
  <c r="V99" i="2"/>
  <c r="X99" i="2"/>
  <c r="A100" i="2"/>
  <c r="N100" i="2"/>
  <c r="O100" i="2"/>
  <c r="P100" i="2"/>
  <c r="Q100" i="2"/>
  <c r="S100" i="2"/>
  <c r="U100" i="2"/>
  <c r="V100" i="2"/>
  <c r="X100" i="2"/>
  <c r="A9" i="4"/>
  <c r="A10" i="4"/>
  <c r="G10" i="4"/>
  <c r="J10" i="4"/>
  <c r="K10" i="4"/>
  <c r="A11" i="4"/>
  <c r="G11" i="4"/>
  <c r="A12" i="4"/>
  <c r="G12" i="4"/>
  <c r="A13" i="4"/>
  <c r="G13" i="4"/>
  <c r="J13" i="4"/>
  <c r="A14" i="4"/>
  <c r="G14" i="4"/>
  <c r="J14" i="4"/>
  <c r="A15" i="4"/>
  <c r="G15" i="4"/>
  <c r="A16" i="4"/>
  <c r="G16" i="4"/>
  <c r="A17" i="4"/>
  <c r="G17" i="4"/>
  <c r="A18" i="4"/>
  <c r="G18" i="4"/>
  <c r="J18" i="4"/>
  <c r="A19" i="4"/>
  <c r="G19" i="4"/>
  <c r="A20" i="4"/>
  <c r="G20" i="4"/>
  <c r="K20" i="4"/>
  <c r="A21" i="4"/>
  <c r="G21" i="4"/>
  <c r="J21" i="4"/>
  <c r="A22" i="4"/>
  <c r="G22" i="4"/>
  <c r="A23" i="4"/>
  <c r="G23" i="4"/>
  <c r="K23" i="4"/>
  <c r="A24" i="4"/>
  <c r="G24" i="4"/>
  <c r="J24" i="4"/>
  <c r="A25" i="4"/>
  <c r="G25" i="4"/>
  <c r="J25" i="4"/>
  <c r="A26" i="4"/>
  <c r="G26" i="4"/>
  <c r="A27" i="4"/>
  <c r="G27" i="4"/>
  <c r="J27" i="4"/>
  <c r="A28" i="4"/>
  <c r="G28" i="4"/>
  <c r="J28" i="4"/>
  <c r="A29" i="4"/>
  <c r="G29" i="4"/>
  <c r="A30" i="4"/>
  <c r="G30" i="4"/>
  <c r="A31" i="4"/>
  <c r="G31" i="4"/>
  <c r="A32" i="4"/>
  <c r="G32" i="4"/>
  <c r="J32" i="4"/>
  <c r="K32" i="4"/>
  <c r="A33" i="4"/>
  <c r="G33" i="4"/>
  <c r="A34" i="4"/>
  <c r="G34" i="4"/>
  <c r="A35" i="4"/>
  <c r="G35" i="4"/>
  <c r="J35" i="4"/>
  <c r="K35" i="4"/>
  <c r="A36" i="4"/>
  <c r="G36" i="4"/>
  <c r="A37" i="4"/>
  <c r="G37" i="4"/>
  <c r="A38" i="4"/>
  <c r="G38" i="4"/>
  <c r="J38" i="4"/>
  <c r="A39" i="4"/>
  <c r="G39" i="4"/>
  <c r="J39" i="4"/>
  <c r="A40" i="4"/>
  <c r="G40" i="4"/>
  <c r="A41" i="4"/>
  <c r="G41" i="4"/>
  <c r="A42" i="4"/>
  <c r="G42" i="4"/>
  <c r="K42" i="4"/>
  <c r="A43" i="4"/>
  <c r="G43" i="4"/>
  <c r="J43" i="4"/>
  <c r="A44" i="4"/>
  <c r="G44" i="4"/>
  <c r="A45" i="4"/>
  <c r="G45" i="4"/>
  <c r="A46" i="4"/>
  <c r="G46" i="4"/>
  <c r="K46" i="4"/>
  <c r="A47" i="4"/>
  <c r="G47" i="4"/>
  <c r="A48" i="4"/>
  <c r="G48" i="4"/>
  <c r="J48" i="4"/>
  <c r="K48" i="4"/>
  <c r="A49" i="4"/>
  <c r="G49" i="4"/>
  <c r="J49" i="4"/>
  <c r="A50" i="4"/>
  <c r="G50" i="4"/>
  <c r="A51" i="4"/>
  <c r="G51" i="4"/>
  <c r="A52" i="4"/>
  <c r="G52" i="4"/>
  <c r="J52" i="4"/>
  <c r="A53" i="4"/>
  <c r="G53" i="4"/>
  <c r="A54" i="4"/>
  <c r="G54" i="4"/>
  <c r="A55" i="4"/>
  <c r="G55" i="4"/>
  <c r="A56" i="4"/>
  <c r="G56" i="4"/>
  <c r="A57" i="4"/>
  <c r="G57" i="4"/>
  <c r="J57" i="4"/>
  <c r="K57" i="4"/>
  <c r="A58" i="4"/>
  <c r="G58" i="4"/>
  <c r="A59" i="4"/>
  <c r="G59" i="4"/>
  <c r="A60" i="4"/>
  <c r="G60" i="4"/>
  <c r="J60" i="4"/>
  <c r="K60" i="4"/>
  <c r="A61" i="4"/>
  <c r="G61" i="4"/>
  <c r="A62" i="4"/>
  <c r="G62" i="4"/>
  <c r="J62" i="4"/>
  <c r="K62" i="4"/>
  <c r="A63" i="4"/>
  <c r="G63" i="4"/>
  <c r="J63" i="4"/>
  <c r="A64" i="4"/>
  <c r="G64" i="4"/>
  <c r="J64" i="4"/>
  <c r="A65" i="4"/>
  <c r="G65" i="4"/>
  <c r="A66" i="4"/>
  <c r="G66" i="4"/>
  <c r="A67" i="4"/>
  <c r="G67" i="4"/>
  <c r="K67" i="4"/>
  <c r="A68" i="4"/>
  <c r="G68" i="4"/>
  <c r="A69" i="4"/>
  <c r="G69" i="4"/>
  <c r="A70" i="4"/>
  <c r="G70" i="4"/>
  <c r="A71" i="4"/>
  <c r="G71" i="4"/>
  <c r="J71" i="4"/>
  <c r="K71" i="4"/>
  <c r="A72" i="4"/>
  <c r="G72" i="4"/>
  <c r="A73" i="4"/>
  <c r="G73" i="4"/>
  <c r="A74" i="4"/>
  <c r="G74" i="4"/>
  <c r="J74" i="4"/>
  <c r="A75" i="4"/>
  <c r="G75" i="4"/>
  <c r="A76" i="4"/>
  <c r="G76" i="4"/>
  <c r="K76" i="4"/>
  <c r="A77" i="4"/>
  <c r="G77" i="4"/>
  <c r="A78" i="4"/>
  <c r="G78" i="4"/>
  <c r="K78" i="4"/>
  <c r="A79" i="4"/>
  <c r="G79" i="4"/>
  <c r="A80" i="4"/>
  <c r="G80" i="4"/>
  <c r="A81" i="4"/>
  <c r="G81" i="4"/>
  <c r="K81" i="4"/>
  <c r="A82" i="4"/>
  <c r="G82" i="4"/>
  <c r="J82" i="4"/>
  <c r="A83" i="4"/>
  <c r="G83" i="4"/>
  <c r="A84" i="4"/>
  <c r="G84" i="4"/>
  <c r="J84" i="4"/>
  <c r="A85" i="4"/>
  <c r="G85" i="4"/>
  <c r="A86" i="4"/>
  <c r="G86" i="4"/>
  <c r="A87" i="4"/>
  <c r="G87" i="4"/>
  <c r="K87" i="4"/>
  <c r="A88" i="4"/>
  <c r="G88" i="4"/>
  <c r="J88" i="4"/>
  <c r="A89" i="4"/>
  <c r="G89" i="4"/>
  <c r="A90" i="4"/>
  <c r="G90" i="4"/>
  <c r="K90" i="4"/>
  <c r="A91" i="4"/>
  <c r="G91" i="4"/>
  <c r="A92" i="4"/>
  <c r="G92" i="4"/>
  <c r="A93" i="4"/>
  <c r="G93" i="4"/>
  <c r="A94" i="4"/>
  <c r="G94" i="4"/>
  <c r="A95" i="4"/>
  <c r="G95" i="4"/>
  <c r="J95" i="4"/>
  <c r="K95" i="4"/>
  <c r="A96" i="4"/>
  <c r="G96" i="4"/>
  <c r="J96" i="4"/>
  <c r="A97" i="4"/>
  <c r="G97" i="4"/>
  <c r="A98" i="4"/>
  <c r="G98" i="4"/>
  <c r="J98" i="4"/>
  <c r="K98" i="4"/>
  <c r="A99" i="4"/>
  <c r="G99" i="4"/>
  <c r="J99" i="4"/>
  <c r="A100" i="4"/>
  <c r="G100" i="4"/>
  <c r="A101" i="4"/>
  <c r="G101" i="4"/>
  <c r="J101" i="4"/>
  <c r="K101" i="4"/>
  <c r="A102" i="4"/>
  <c r="G102" i="4"/>
  <c r="A103" i="4"/>
  <c r="G103" i="4"/>
  <c r="K103" i="4"/>
  <c r="A104" i="4"/>
  <c r="G104" i="4"/>
  <c r="A105" i="4"/>
  <c r="G105" i="4"/>
  <c r="A106" i="4"/>
  <c r="G106" i="4"/>
  <c r="K106" i="4"/>
  <c r="A107" i="4"/>
  <c r="G107" i="4"/>
  <c r="A108" i="4"/>
  <c r="G108" i="4"/>
  <c r="K108" i="4"/>
  <c r="A109" i="4"/>
  <c r="G109" i="4"/>
  <c r="J109" i="4"/>
  <c r="K109" i="4"/>
  <c r="A110" i="4"/>
  <c r="G110" i="4"/>
  <c r="J110" i="4"/>
  <c r="A111" i="4"/>
  <c r="G111" i="4"/>
  <c r="A112" i="4"/>
  <c r="G112" i="4"/>
  <c r="K112" i="4"/>
  <c r="A113" i="4"/>
  <c r="G113" i="4"/>
  <c r="A114" i="4"/>
  <c r="G114" i="4"/>
  <c r="A115" i="4"/>
  <c r="G115" i="4"/>
  <c r="K115" i="4"/>
  <c r="A116" i="4"/>
  <c r="G116" i="4"/>
  <c r="A117" i="4"/>
  <c r="G117" i="4"/>
  <c r="K117" i="4"/>
  <c r="A118" i="4"/>
  <c r="G118" i="4"/>
  <c r="A119" i="4"/>
  <c r="G119" i="4"/>
  <c r="A120" i="4"/>
  <c r="G120" i="4"/>
  <c r="J120" i="4"/>
  <c r="L120" i="4" s="1"/>
  <c r="K120" i="4"/>
  <c r="A121" i="4"/>
  <c r="G121" i="4"/>
  <c r="A122" i="4"/>
  <c r="G122" i="4"/>
  <c r="J122" i="4"/>
  <c r="A123" i="4"/>
  <c r="G123" i="4"/>
  <c r="J123" i="4"/>
  <c r="K123" i="4"/>
  <c r="A124" i="4"/>
  <c r="G124" i="4"/>
  <c r="J124" i="4"/>
  <c r="A125" i="4"/>
  <c r="G125" i="4"/>
  <c r="A126" i="4"/>
  <c r="G126" i="4"/>
  <c r="J126" i="4"/>
  <c r="K126" i="4"/>
  <c r="A127" i="4"/>
  <c r="G127" i="4"/>
  <c r="A128" i="4"/>
  <c r="G128" i="4"/>
  <c r="K128" i="4"/>
  <c r="A129" i="4"/>
  <c r="G129" i="4"/>
  <c r="A130" i="4"/>
  <c r="G130" i="4"/>
  <c r="A131" i="4"/>
  <c r="G131" i="4"/>
  <c r="J131" i="4"/>
  <c r="A132" i="4"/>
  <c r="G132" i="4"/>
  <c r="A133" i="4"/>
  <c r="G133" i="4"/>
  <c r="J133" i="4"/>
  <c r="A134" i="4"/>
  <c r="G134" i="4"/>
  <c r="J134" i="4"/>
  <c r="A135" i="4"/>
  <c r="G135" i="4"/>
  <c r="A136" i="4"/>
  <c r="G136" i="4"/>
  <c r="A137" i="4"/>
  <c r="G137" i="4"/>
  <c r="J137" i="4"/>
  <c r="K137" i="4"/>
  <c r="L137" i="4" s="1"/>
  <c r="A138" i="4"/>
  <c r="G138" i="4"/>
  <c r="A139" i="4"/>
  <c r="G139" i="4"/>
  <c r="A140" i="4"/>
  <c r="G140" i="4"/>
  <c r="J140" i="4"/>
  <c r="K140" i="4"/>
  <c r="A141" i="4"/>
  <c r="G141" i="4"/>
  <c r="A142" i="4"/>
  <c r="G142" i="4"/>
  <c r="A143" i="4"/>
  <c r="G143" i="4"/>
  <c r="A144" i="4"/>
  <c r="G144" i="4"/>
  <c r="K144" i="4"/>
  <c r="A145" i="4"/>
  <c r="G145" i="4"/>
  <c r="J145" i="4"/>
  <c r="A146" i="4"/>
  <c r="G146" i="4"/>
  <c r="A147" i="4"/>
  <c r="G147" i="4"/>
  <c r="J147" i="4"/>
  <c r="A148" i="4"/>
  <c r="G148" i="4"/>
  <c r="J148" i="4"/>
  <c r="A149" i="4"/>
  <c r="G149" i="4"/>
  <c r="A150" i="4"/>
  <c r="G150" i="4"/>
  <c r="A151" i="4"/>
  <c r="G151" i="4"/>
  <c r="J151" i="4"/>
  <c r="K151" i="4"/>
  <c r="A152" i="4"/>
  <c r="G152" i="4"/>
  <c r="A153" i="4"/>
  <c r="G153" i="4"/>
  <c r="K153" i="4"/>
  <c r="A154" i="4"/>
  <c r="G154" i="4"/>
  <c r="A155" i="4"/>
  <c r="G155" i="4"/>
  <c r="A156" i="4"/>
  <c r="G156" i="4"/>
  <c r="J156" i="4"/>
  <c r="K156" i="4"/>
  <c r="A157" i="4"/>
  <c r="G157" i="4"/>
  <c r="A158" i="4"/>
  <c r="G158" i="4"/>
  <c r="J158" i="4"/>
  <c r="A159" i="4"/>
  <c r="G159" i="4"/>
  <c r="K159" i="4"/>
  <c r="A160" i="4"/>
  <c r="G160" i="4"/>
  <c r="A161" i="4"/>
  <c r="G161" i="4"/>
  <c r="A162" i="4"/>
  <c r="G162" i="4"/>
  <c r="J162" i="4"/>
  <c r="A163" i="4"/>
  <c r="G163" i="4"/>
  <c r="A164" i="4"/>
  <c r="G164" i="4"/>
  <c r="A165" i="4"/>
  <c r="G165" i="4"/>
  <c r="J165" i="4"/>
  <c r="K165" i="4"/>
  <c r="A166" i="4"/>
  <c r="G166" i="4"/>
  <c r="A167" i="4"/>
  <c r="G167" i="4"/>
  <c r="J167" i="4"/>
  <c r="A168" i="4"/>
  <c r="G168" i="4"/>
  <c r="K168" i="4"/>
  <c r="A169" i="4"/>
  <c r="G169" i="4"/>
  <c r="J169" i="4"/>
  <c r="A170" i="4"/>
  <c r="G170" i="4"/>
  <c r="J170" i="4"/>
  <c r="K170" i="4"/>
  <c r="A171" i="4"/>
  <c r="G171" i="4"/>
  <c r="A172" i="4"/>
  <c r="G172" i="4"/>
  <c r="J172" i="4"/>
  <c r="A173" i="4"/>
  <c r="G173" i="4"/>
  <c r="J173" i="4"/>
  <c r="K173" i="4"/>
  <c r="A174" i="4"/>
  <c r="G174" i="4"/>
  <c r="A175" i="4"/>
  <c r="G175" i="4"/>
  <c r="A176" i="4"/>
  <c r="G176" i="4"/>
  <c r="J176" i="4"/>
  <c r="K176" i="4"/>
  <c r="A177" i="4"/>
  <c r="G177" i="4"/>
  <c r="A178" i="4"/>
  <c r="G178" i="4"/>
  <c r="A179" i="4"/>
  <c r="G179" i="4"/>
  <c r="J179" i="4"/>
  <c r="K179" i="4"/>
  <c r="A180" i="4"/>
  <c r="G180" i="4"/>
  <c r="K180" i="4"/>
  <c r="A181" i="4"/>
  <c r="G181" i="4"/>
  <c r="J181" i="4"/>
  <c r="A182" i="4"/>
  <c r="G182" i="4"/>
  <c r="A183" i="4"/>
  <c r="G183" i="4"/>
  <c r="J183" i="4"/>
  <c r="A184" i="4"/>
  <c r="G184" i="4"/>
  <c r="K184" i="4"/>
  <c r="A185" i="4"/>
  <c r="G185" i="4"/>
  <c r="A186" i="4"/>
  <c r="G186" i="4"/>
  <c r="K186" i="4"/>
  <c r="A187" i="4"/>
  <c r="G187" i="4"/>
  <c r="J187" i="4"/>
  <c r="K187" i="4"/>
  <c r="A188" i="4"/>
  <c r="G188" i="4"/>
  <c r="A189" i="4"/>
  <c r="G189" i="4"/>
  <c r="A190" i="4"/>
  <c r="G190" i="4"/>
  <c r="J190" i="4"/>
  <c r="K190" i="4"/>
  <c r="A191" i="4"/>
  <c r="G191" i="4"/>
  <c r="K191" i="4"/>
  <c r="A192" i="4"/>
  <c r="G192" i="4"/>
  <c r="A193" i="4"/>
  <c r="G193" i="4"/>
  <c r="J193" i="4"/>
  <c r="A194" i="4"/>
  <c r="G194" i="4"/>
  <c r="J194" i="4"/>
  <c r="A195" i="4"/>
  <c r="G195" i="4"/>
  <c r="J195" i="4"/>
  <c r="A196" i="4"/>
  <c r="G196" i="4"/>
  <c r="A197" i="4"/>
  <c r="G197" i="4"/>
  <c r="A198" i="4"/>
  <c r="G198" i="4"/>
  <c r="J198" i="4"/>
  <c r="K198" i="4"/>
  <c r="A199" i="4"/>
  <c r="G199" i="4"/>
  <c r="A200" i="4"/>
  <c r="G200" i="4"/>
  <c r="A201" i="4"/>
  <c r="G201" i="4"/>
  <c r="K201" i="4"/>
  <c r="A202" i="4"/>
  <c r="G202" i="4"/>
  <c r="A203" i="4"/>
  <c r="G203" i="4"/>
  <c r="A204" i="4"/>
  <c r="G204" i="4"/>
  <c r="J204" i="4"/>
  <c r="A205" i="4"/>
  <c r="G205" i="4"/>
  <c r="A206" i="4"/>
  <c r="G206" i="4"/>
  <c r="A207" i="4"/>
  <c r="G207" i="4"/>
  <c r="J207" i="4"/>
  <c r="A208" i="4"/>
  <c r="G208" i="4"/>
  <c r="J208" i="4"/>
  <c r="A209" i="4"/>
  <c r="G209" i="4"/>
  <c r="K209" i="4"/>
  <c r="A210" i="4"/>
  <c r="G210" i="4"/>
  <c r="A211" i="4"/>
  <c r="G211" i="4"/>
  <c r="A212" i="4"/>
  <c r="G212" i="4"/>
  <c r="J212" i="4"/>
  <c r="K212" i="4"/>
  <c r="A213" i="4"/>
  <c r="G213" i="4"/>
  <c r="A214" i="4"/>
  <c r="G214" i="4"/>
  <c r="A215" i="4"/>
  <c r="G215" i="4"/>
  <c r="J215" i="4"/>
  <c r="A216" i="4"/>
  <c r="G216" i="4"/>
  <c r="A217" i="4"/>
  <c r="G217" i="4"/>
  <c r="A218" i="4"/>
  <c r="G218" i="4"/>
  <c r="J218" i="4"/>
  <c r="A219" i="4"/>
  <c r="G219" i="4"/>
  <c r="J219" i="4"/>
  <c r="A220" i="4"/>
  <c r="G220" i="4"/>
  <c r="J220" i="4"/>
  <c r="A221" i="4"/>
  <c r="G221" i="4"/>
  <c r="A222" i="4"/>
  <c r="G222" i="4"/>
  <c r="K222" i="4"/>
  <c r="A223" i="4"/>
  <c r="G223" i="4"/>
  <c r="J223" i="4"/>
  <c r="A224" i="4"/>
  <c r="G224" i="4"/>
  <c r="A225" i="4"/>
  <c r="G225" i="4"/>
  <c r="A226" i="4"/>
  <c r="G226" i="4"/>
  <c r="J226" i="4"/>
  <c r="K226" i="4"/>
  <c r="L226" i="4" s="1"/>
  <c r="A227" i="4"/>
  <c r="G227" i="4"/>
  <c r="K227" i="4"/>
  <c r="A228" i="4"/>
  <c r="G228" i="4"/>
  <c r="A229" i="4"/>
  <c r="G229" i="4"/>
  <c r="J229" i="4"/>
  <c r="A230" i="4"/>
  <c r="G230" i="4"/>
  <c r="J230" i="4"/>
  <c r="A231" i="4"/>
  <c r="G231" i="4"/>
  <c r="K231" i="4"/>
  <c r="A232" i="4"/>
  <c r="G232" i="4"/>
  <c r="J232" i="4"/>
  <c r="A233" i="4"/>
  <c r="G233" i="4"/>
  <c r="A234" i="4"/>
  <c r="G234" i="4"/>
  <c r="A235" i="4"/>
  <c r="G235" i="4"/>
  <c r="A236" i="4"/>
  <c r="G236" i="4"/>
  <c r="K236" i="4"/>
  <c r="A237" i="4"/>
  <c r="G237" i="4"/>
  <c r="J237" i="4"/>
  <c r="A238" i="4"/>
  <c r="G238" i="4"/>
  <c r="A239" i="4"/>
  <c r="G239" i="4"/>
  <c r="K239" i="4"/>
  <c r="A240" i="4"/>
  <c r="G240" i="4"/>
  <c r="J240" i="4"/>
  <c r="A241" i="4"/>
  <c r="G241" i="4"/>
  <c r="J241" i="4"/>
  <c r="A242" i="4"/>
  <c r="G242" i="4"/>
  <c r="A243" i="4"/>
  <c r="G243" i="4"/>
  <c r="J243" i="4"/>
  <c r="A244" i="4"/>
  <c r="G244" i="4"/>
  <c r="J244" i="4"/>
  <c r="A245" i="4"/>
  <c r="G245" i="4"/>
  <c r="K245" i="4"/>
  <c r="A246" i="4"/>
  <c r="G246" i="4"/>
  <c r="A247" i="4"/>
  <c r="G247" i="4"/>
  <c r="K247" i="4"/>
  <c r="A248" i="4"/>
  <c r="G248" i="4"/>
  <c r="J248" i="4"/>
  <c r="K248" i="4"/>
  <c r="A249" i="4"/>
  <c r="G249" i="4"/>
  <c r="A250" i="4"/>
  <c r="G250" i="4"/>
  <c r="K250" i="4"/>
  <c r="A251" i="4"/>
  <c r="G251" i="4"/>
  <c r="J251" i="4"/>
  <c r="K251" i="4"/>
  <c r="A252" i="4"/>
  <c r="G252" i="4"/>
  <c r="A253" i="4"/>
  <c r="G253" i="4"/>
  <c r="K253" i="4"/>
  <c r="A254" i="4"/>
  <c r="G254" i="4"/>
  <c r="J254" i="4"/>
  <c r="A255" i="4"/>
  <c r="G255" i="4"/>
  <c r="J255" i="4"/>
  <c r="A256" i="4"/>
  <c r="G256" i="4"/>
  <c r="K256" i="4"/>
  <c r="A257" i="4"/>
  <c r="G257" i="4"/>
  <c r="A258" i="4"/>
  <c r="G258" i="4"/>
  <c r="A259" i="4"/>
  <c r="G259" i="4"/>
  <c r="A260" i="4"/>
  <c r="G260" i="4"/>
  <c r="A261" i="4"/>
  <c r="G261" i="4"/>
  <c r="K261" i="4"/>
  <c r="A262" i="4"/>
  <c r="G262" i="4"/>
  <c r="J262" i="4"/>
  <c r="A263" i="4"/>
  <c r="G263" i="4"/>
  <c r="A264" i="4"/>
  <c r="G264" i="4"/>
  <c r="K264" i="4"/>
  <c r="A265" i="4"/>
  <c r="G265" i="4"/>
  <c r="J265" i="4"/>
  <c r="A266" i="4"/>
  <c r="G266" i="4"/>
  <c r="A267" i="4"/>
  <c r="G267" i="4"/>
  <c r="A268" i="4"/>
  <c r="G268" i="4"/>
  <c r="J268" i="4"/>
  <c r="A269" i="4"/>
  <c r="G269" i="4"/>
  <c r="J269" i="4"/>
  <c r="A270" i="4"/>
  <c r="G270" i="4"/>
  <c r="J270" i="4"/>
  <c r="A271" i="4"/>
  <c r="G271" i="4"/>
  <c r="A272" i="4"/>
  <c r="G272" i="4"/>
  <c r="A273" i="4"/>
  <c r="G273" i="4"/>
  <c r="J273" i="4"/>
  <c r="L273" i="4" s="1"/>
  <c r="K273" i="4"/>
  <c r="A274" i="4"/>
  <c r="G274" i="4"/>
  <c r="A275" i="4"/>
  <c r="G275" i="4"/>
  <c r="A276" i="4"/>
  <c r="G276" i="4"/>
  <c r="J276" i="4"/>
  <c r="K276" i="4"/>
  <c r="A277" i="4"/>
  <c r="G277" i="4"/>
  <c r="A278" i="4"/>
  <c r="G278" i="4"/>
  <c r="A279" i="4"/>
  <c r="G279" i="4"/>
  <c r="J279" i="4"/>
  <c r="K279" i="4"/>
  <c r="A280" i="4"/>
  <c r="G280" i="4"/>
  <c r="J280" i="4"/>
  <c r="A281" i="4"/>
  <c r="G281" i="4"/>
  <c r="J281" i="4"/>
  <c r="A282" i="4"/>
  <c r="G282" i="4"/>
  <c r="A283" i="4"/>
  <c r="G283" i="4"/>
  <c r="J283" i="4"/>
  <c r="A284" i="4"/>
  <c r="G284" i="4"/>
  <c r="K284" i="4"/>
  <c r="A285" i="4"/>
  <c r="G285" i="4"/>
  <c r="A286" i="4"/>
  <c r="G286" i="4"/>
  <c r="A287" i="4"/>
  <c r="G287" i="4"/>
  <c r="J287" i="4"/>
  <c r="K287" i="4"/>
  <c r="A288" i="4"/>
  <c r="G288" i="4"/>
  <c r="K288" i="4"/>
  <c r="A289" i="4"/>
  <c r="G289" i="4"/>
  <c r="K289" i="4"/>
  <c r="A290" i="4"/>
  <c r="G290" i="4"/>
  <c r="J290" i="4"/>
  <c r="L290" i="4" s="1"/>
  <c r="K290" i="4"/>
  <c r="A291" i="4"/>
  <c r="G291" i="4"/>
  <c r="K291" i="4"/>
  <c r="A292" i="4"/>
  <c r="G292" i="4"/>
  <c r="A293" i="4"/>
  <c r="G293" i="4"/>
  <c r="J293" i="4"/>
  <c r="A294" i="4"/>
  <c r="G294" i="4"/>
  <c r="J294" i="4"/>
  <c r="A295" i="4"/>
  <c r="G295" i="4"/>
  <c r="A296" i="4"/>
  <c r="G296" i="4"/>
  <c r="A297" i="4"/>
  <c r="G297" i="4"/>
  <c r="A298" i="4"/>
  <c r="G298" i="4"/>
  <c r="J298" i="4"/>
  <c r="K298" i="4"/>
  <c r="A299" i="4"/>
  <c r="G299" i="4"/>
  <c r="K299" i="4"/>
  <c r="A300" i="4"/>
  <c r="G300" i="4"/>
  <c r="K300" i="4"/>
  <c r="A301" i="4"/>
  <c r="G301" i="4"/>
  <c r="J301" i="4"/>
  <c r="A302" i="4"/>
  <c r="G302" i="4"/>
  <c r="A303" i="4"/>
  <c r="G303" i="4"/>
  <c r="J303" i="4"/>
  <c r="A304" i="4"/>
  <c r="G304" i="4"/>
  <c r="J304" i="4"/>
  <c r="A305" i="4"/>
  <c r="G305" i="4"/>
  <c r="A306" i="4"/>
  <c r="G306" i="4"/>
  <c r="K306" i="4"/>
  <c r="A307" i="4"/>
  <c r="G307" i="4"/>
  <c r="J307" i="4"/>
  <c r="A308" i="4"/>
  <c r="G308" i="4"/>
  <c r="A309" i="4"/>
  <c r="G309" i="4"/>
  <c r="K309" i="4"/>
  <c r="A310" i="4"/>
  <c r="G310" i="4"/>
  <c r="K310" i="4"/>
  <c r="A311" i="4"/>
  <c r="G311" i="4"/>
  <c r="K311" i="4"/>
  <c r="A312" i="4"/>
  <c r="G312" i="4"/>
  <c r="J312" i="4"/>
  <c r="A313" i="4"/>
  <c r="G313" i="4"/>
  <c r="A314" i="4"/>
  <c r="G314" i="4"/>
  <c r="A315" i="4"/>
  <c r="G315" i="4"/>
  <c r="J315" i="4"/>
  <c r="K315" i="4"/>
  <c r="A316" i="4"/>
  <c r="G316" i="4"/>
  <c r="A317" i="4"/>
  <c r="G317" i="4"/>
  <c r="J317" i="4"/>
  <c r="K317" i="4"/>
  <c r="A318" i="4"/>
  <c r="G318" i="4"/>
  <c r="J318" i="4"/>
  <c r="A319" i="4"/>
  <c r="G319" i="4"/>
  <c r="A320" i="4"/>
  <c r="G320" i="4"/>
  <c r="A321" i="4"/>
  <c r="G321" i="4"/>
  <c r="A322" i="4"/>
  <c r="G322" i="4"/>
  <c r="K322" i="4"/>
  <c r="A323" i="4"/>
  <c r="G323" i="4"/>
  <c r="K323" i="4"/>
  <c r="A324" i="4"/>
  <c r="G324" i="4"/>
  <c r="K324" i="4"/>
  <c r="A325" i="4"/>
  <c r="G325" i="4"/>
  <c r="K325" i="4"/>
  <c r="A326" i="4"/>
  <c r="G326" i="4"/>
  <c r="J326" i="4"/>
  <c r="A327" i="4"/>
  <c r="G327" i="4"/>
  <c r="J327" i="4"/>
  <c r="A328" i="4"/>
  <c r="G328" i="4"/>
  <c r="J328" i="4"/>
  <c r="K328" i="4"/>
  <c r="A329" i="4"/>
  <c r="G329" i="4"/>
  <c r="A330" i="4"/>
  <c r="G330" i="4"/>
  <c r="J330" i="4"/>
  <c r="K330" i="4"/>
  <c r="A331" i="4"/>
  <c r="G331" i="4"/>
  <c r="J331" i="4"/>
  <c r="A332" i="4"/>
  <c r="G332" i="4"/>
  <c r="A333" i="4"/>
  <c r="G333" i="4"/>
  <c r="A334" i="4"/>
  <c r="G334" i="4"/>
  <c r="J334" i="4"/>
  <c r="A335" i="4"/>
  <c r="G335" i="4"/>
  <c r="A336" i="4"/>
  <c r="G336" i="4"/>
  <c r="A337" i="4"/>
  <c r="G337" i="4"/>
  <c r="J337" i="4"/>
  <c r="K337" i="4"/>
  <c r="A338" i="4"/>
  <c r="G338" i="4"/>
  <c r="K338" i="4"/>
  <c r="A339" i="4"/>
  <c r="G339" i="4"/>
  <c r="K339" i="4"/>
  <c r="A340" i="4"/>
  <c r="G340" i="4"/>
  <c r="J340" i="4"/>
  <c r="A341" i="4"/>
  <c r="G341" i="4"/>
  <c r="J341" i="4"/>
  <c r="K341" i="4"/>
  <c r="A342" i="4"/>
  <c r="G342" i="4"/>
  <c r="J342" i="4"/>
  <c r="A343" i="4"/>
  <c r="G343" i="4"/>
  <c r="J343" i="4"/>
  <c r="A344" i="4"/>
  <c r="G344" i="4"/>
  <c r="J344" i="4"/>
  <c r="A345" i="4"/>
  <c r="G345" i="4"/>
  <c r="J345" i="4"/>
  <c r="A346" i="4"/>
  <c r="G346" i="4"/>
  <c r="A347" i="4"/>
  <c r="G347" i="4"/>
  <c r="A348" i="4"/>
  <c r="G348" i="4"/>
  <c r="J348" i="4"/>
  <c r="K348" i="4"/>
  <c r="A349" i="4"/>
  <c r="G349" i="4"/>
  <c r="K349" i="4"/>
  <c r="A350" i="4"/>
  <c r="G350" i="4"/>
  <c r="K350" i="4"/>
  <c r="A351" i="4"/>
  <c r="G351" i="4"/>
  <c r="J351" i="4"/>
  <c r="K351" i="4"/>
  <c r="A352" i="4"/>
  <c r="G352" i="4"/>
  <c r="J352" i="4"/>
  <c r="A353" i="4"/>
  <c r="G353" i="4"/>
  <c r="K353" i="4"/>
  <c r="A354" i="4"/>
  <c r="G354" i="4"/>
  <c r="J354" i="4"/>
  <c r="A355" i="4"/>
  <c r="G355" i="4"/>
  <c r="K355" i="4"/>
  <c r="A356" i="4"/>
  <c r="G356" i="4"/>
  <c r="J356" i="4"/>
  <c r="K356" i="4"/>
  <c r="A357" i="4"/>
  <c r="G357" i="4"/>
  <c r="A358" i="4"/>
  <c r="G358" i="4"/>
  <c r="K358" i="4"/>
  <c r="A359" i="4"/>
  <c r="G359" i="4"/>
  <c r="J359" i="4"/>
  <c r="A360" i="4"/>
  <c r="G360" i="4"/>
  <c r="K360" i="4"/>
  <c r="A361" i="4"/>
  <c r="G361" i="4"/>
  <c r="K361" i="4"/>
  <c r="A362" i="4"/>
  <c r="G362" i="4"/>
  <c r="K362" i="4"/>
  <c r="A363" i="4"/>
  <c r="G363" i="4"/>
  <c r="J363" i="4"/>
  <c r="K363" i="4"/>
  <c r="A364" i="4"/>
  <c r="G364" i="4"/>
  <c r="K364" i="4"/>
  <c r="A365" i="4"/>
  <c r="G365" i="4"/>
  <c r="J365" i="4"/>
  <c r="A366" i="4"/>
  <c r="G366" i="4"/>
  <c r="J366" i="4"/>
  <c r="K366" i="4"/>
  <c r="A367" i="4"/>
  <c r="G367" i="4"/>
  <c r="J367" i="4"/>
  <c r="A368" i="4"/>
  <c r="G368" i="4"/>
  <c r="A369" i="4"/>
  <c r="G369" i="4"/>
  <c r="J369" i="4"/>
  <c r="A370" i="4"/>
  <c r="G370" i="4"/>
  <c r="J370" i="4"/>
  <c r="K370" i="4"/>
  <c r="A371" i="4"/>
  <c r="G371" i="4"/>
  <c r="A372" i="4"/>
  <c r="G372" i="4"/>
  <c r="A373" i="4"/>
  <c r="G373" i="4"/>
  <c r="J373" i="4"/>
  <c r="A374" i="4"/>
  <c r="G374" i="4"/>
  <c r="A375" i="4"/>
  <c r="G375" i="4"/>
  <c r="A376" i="4"/>
  <c r="G376" i="4"/>
  <c r="J376" i="4"/>
  <c r="A377" i="4"/>
  <c r="G377" i="4"/>
  <c r="J377" i="4"/>
  <c r="K377" i="4"/>
  <c r="A378" i="4"/>
  <c r="G378" i="4"/>
  <c r="J378" i="4"/>
  <c r="A379" i="4"/>
  <c r="G379" i="4"/>
  <c r="J379" i="4"/>
  <c r="A380" i="4"/>
  <c r="G380" i="4"/>
  <c r="J380" i="4"/>
  <c r="K380" i="4"/>
  <c r="A381" i="4"/>
  <c r="G381" i="4"/>
  <c r="J381" i="4"/>
  <c r="A382" i="4"/>
  <c r="G382" i="4"/>
  <c r="J382" i="4"/>
  <c r="K382" i="4"/>
  <c r="A383" i="4"/>
  <c r="G383" i="4"/>
  <c r="J383" i="4"/>
  <c r="A384" i="4"/>
  <c r="G384" i="4"/>
  <c r="K384" i="4"/>
  <c r="A385" i="4"/>
  <c r="G385" i="4"/>
  <c r="J385" i="4"/>
  <c r="A386" i="4"/>
  <c r="G386" i="4"/>
  <c r="J386" i="4"/>
  <c r="A387" i="4"/>
  <c r="G387" i="4"/>
  <c r="J387" i="4"/>
  <c r="K387" i="4"/>
  <c r="A388" i="4"/>
  <c r="G388" i="4"/>
  <c r="J388" i="4"/>
  <c r="K388" i="4"/>
  <c r="A389" i="4"/>
  <c r="G389" i="4"/>
  <c r="K389" i="4"/>
  <c r="A390" i="4"/>
  <c r="G390" i="4"/>
  <c r="J390" i="4"/>
  <c r="A391" i="4"/>
  <c r="G391" i="4"/>
  <c r="J391" i="4"/>
  <c r="A392" i="4"/>
  <c r="G392" i="4"/>
  <c r="A393" i="4"/>
  <c r="G393" i="4"/>
  <c r="A394" i="4"/>
  <c r="G394" i="4"/>
  <c r="J394" i="4"/>
  <c r="K394" i="4"/>
  <c r="A395" i="4"/>
  <c r="G395" i="4"/>
  <c r="K395" i="4"/>
  <c r="A396" i="4"/>
  <c r="G396" i="4"/>
  <c r="J396" i="4"/>
  <c r="K396" i="4"/>
  <c r="A397" i="4"/>
  <c r="G397" i="4"/>
  <c r="J397" i="4"/>
  <c r="A398" i="4"/>
  <c r="G398" i="4"/>
  <c r="A399" i="4"/>
  <c r="G399" i="4"/>
  <c r="K399" i="4"/>
  <c r="A400" i="4"/>
  <c r="G400" i="4"/>
  <c r="J400" i="4"/>
  <c r="A401" i="4"/>
  <c r="G401" i="4"/>
  <c r="J401" i="4"/>
  <c r="A402" i="4"/>
  <c r="G402" i="4"/>
  <c r="K402" i="4"/>
  <c r="A403" i="4"/>
  <c r="G403" i="4"/>
  <c r="J403" i="4"/>
  <c r="K403" i="4"/>
  <c r="A404" i="4"/>
  <c r="G404" i="4"/>
  <c r="A405" i="4"/>
  <c r="G405" i="4"/>
  <c r="K405" i="4"/>
  <c r="A406" i="4"/>
  <c r="G406" i="4"/>
  <c r="J406" i="4"/>
  <c r="A407" i="4"/>
  <c r="G407" i="4"/>
  <c r="J407" i="4"/>
  <c r="K407" i="4"/>
  <c r="A408" i="4"/>
  <c r="G408" i="4"/>
  <c r="J408" i="4"/>
  <c r="K408" i="4"/>
  <c r="A409" i="4"/>
  <c r="G409" i="4"/>
  <c r="J409" i="4"/>
  <c r="A410" i="4"/>
  <c r="G410" i="4"/>
  <c r="J410" i="4"/>
  <c r="K410" i="4"/>
  <c r="A411" i="4"/>
  <c r="G411" i="4"/>
  <c r="J411" i="4"/>
  <c r="K411" i="4"/>
  <c r="A412" i="4"/>
  <c r="G412" i="4"/>
  <c r="A413" i="4"/>
  <c r="G413" i="4"/>
  <c r="K413" i="4"/>
  <c r="A414" i="4"/>
  <c r="G414" i="4"/>
  <c r="J414" i="4"/>
  <c r="K414" i="4"/>
  <c r="A415" i="4"/>
  <c r="G415" i="4"/>
  <c r="J415" i="4"/>
  <c r="A416" i="4"/>
  <c r="G416" i="4"/>
  <c r="K416" i="4"/>
  <c r="A417" i="4"/>
  <c r="G417" i="4"/>
  <c r="J417" i="4"/>
  <c r="A418" i="4"/>
  <c r="G418" i="4"/>
  <c r="A419" i="4"/>
  <c r="G419" i="4"/>
  <c r="J419" i="4"/>
  <c r="K419" i="4"/>
  <c r="A420" i="4"/>
  <c r="G420" i="4"/>
  <c r="J420" i="4"/>
  <c r="K420" i="4"/>
  <c r="A421" i="4"/>
  <c r="G421" i="4"/>
  <c r="K421" i="4"/>
  <c r="A422" i="4"/>
  <c r="G422" i="4"/>
  <c r="J422" i="4"/>
  <c r="A423" i="4"/>
  <c r="G423" i="4"/>
  <c r="J423" i="4"/>
  <c r="K423" i="4"/>
  <c r="A424" i="4"/>
  <c r="G424" i="4"/>
  <c r="J424" i="4"/>
  <c r="A425" i="4"/>
  <c r="G425" i="4"/>
  <c r="J425" i="4"/>
  <c r="K425" i="4"/>
  <c r="A426" i="4"/>
  <c r="G426" i="4"/>
  <c r="J426" i="4"/>
  <c r="A427" i="4"/>
  <c r="G427" i="4"/>
  <c r="K427" i="4"/>
  <c r="A428" i="4"/>
  <c r="G428" i="4"/>
  <c r="J428" i="4"/>
  <c r="K428" i="4"/>
  <c r="A429" i="4"/>
  <c r="G429" i="4"/>
  <c r="K429" i="4"/>
  <c r="A430" i="4"/>
  <c r="G430" i="4"/>
  <c r="J430" i="4"/>
  <c r="A431" i="4"/>
  <c r="G431" i="4"/>
  <c r="K431" i="4"/>
  <c r="A432" i="4"/>
  <c r="G432" i="4"/>
  <c r="J432" i="4"/>
  <c r="K432" i="4"/>
  <c r="A433" i="4"/>
  <c r="G433" i="4"/>
  <c r="J433" i="4"/>
  <c r="A434" i="4"/>
  <c r="G434" i="4"/>
  <c r="K434" i="4"/>
  <c r="A435" i="4"/>
  <c r="G435" i="4"/>
  <c r="J435" i="4"/>
  <c r="A436" i="4"/>
  <c r="G436" i="4"/>
  <c r="A437" i="4"/>
  <c r="G437" i="4"/>
  <c r="A438" i="4"/>
  <c r="G438" i="4"/>
  <c r="J438" i="4"/>
  <c r="K438" i="4"/>
  <c r="A439" i="4"/>
  <c r="G439" i="4"/>
  <c r="J439" i="4"/>
  <c r="K439" i="4"/>
  <c r="A440" i="4"/>
  <c r="G440" i="4"/>
  <c r="A441" i="4"/>
  <c r="G441" i="4"/>
  <c r="J441" i="4"/>
  <c r="K441" i="4"/>
  <c r="A442" i="4"/>
  <c r="G442" i="4"/>
  <c r="K442" i="4"/>
  <c r="A443" i="4"/>
  <c r="G443" i="4"/>
  <c r="J443" i="4"/>
  <c r="K443" i="4"/>
  <c r="A444" i="4"/>
  <c r="G444" i="4"/>
  <c r="J444" i="4"/>
  <c r="A445" i="4"/>
  <c r="G445" i="4"/>
  <c r="K445" i="4"/>
  <c r="A446" i="4"/>
  <c r="G446" i="4"/>
  <c r="J446" i="4"/>
  <c r="A447" i="4"/>
  <c r="G447" i="4"/>
  <c r="A448" i="4"/>
  <c r="G448" i="4"/>
  <c r="J448" i="4"/>
  <c r="K448" i="4"/>
  <c r="A449" i="4"/>
  <c r="G449" i="4"/>
  <c r="J449" i="4"/>
  <c r="K449" i="4"/>
  <c r="A450" i="4"/>
  <c r="G450" i="4"/>
  <c r="K450" i="4"/>
  <c r="A451" i="4"/>
  <c r="G451" i="4"/>
  <c r="J451" i="4"/>
  <c r="A452" i="4"/>
  <c r="G452" i="4"/>
  <c r="J452" i="4"/>
  <c r="A453" i="4"/>
  <c r="G453" i="4"/>
  <c r="J453" i="4"/>
  <c r="A454" i="4"/>
  <c r="G454" i="4"/>
  <c r="A455" i="4"/>
  <c r="G455" i="4"/>
  <c r="J455" i="4"/>
  <c r="K455" i="4"/>
  <c r="A456" i="4"/>
  <c r="G456" i="4"/>
  <c r="K456" i="4"/>
  <c r="A457" i="4"/>
  <c r="G457" i="4"/>
  <c r="J457" i="4"/>
  <c r="K457" i="4"/>
  <c r="A458" i="4"/>
  <c r="G458" i="4"/>
  <c r="J458" i="4"/>
  <c r="A459" i="4"/>
  <c r="G459" i="4"/>
  <c r="A460" i="4"/>
  <c r="G460" i="4"/>
  <c r="J460" i="4"/>
  <c r="K460" i="4"/>
  <c r="A461" i="4"/>
  <c r="G461" i="4"/>
  <c r="J461" i="4"/>
  <c r="K461" i="4"/>
  <c r="A462" i="4"/>
  <c r="G462" i="4"/>
  <c r="J462" i="4"/>
  <c r="A463" i="4"/>
  <c r="G463" i="4"/>
  <c r="J463" i="4"/>
  <c r="A464" i="4"/>
  <c r="G464" i="4"/>
  <c r="K464" i="4"/>
  <c r="A465" i="4"/>
  <c r="G465" i="4"/>
  <c r="J465" i="4"/>
  <c r="A466" i="4"/>
  <c r="G466" i="4"/>
  <c r="J466" i="4"/>
  <c r="K466" i="4"/>
  <c r="A467" i="4"/>
  <c r="G467" i="4"/>
  <c r="J467" i="4"/>
  <c r="A468" i="4"/>
  <c r="G468" i="4"/>
  <c r="J468" i="4"/>
  <c r="K468" i="4"/>
  <c r="A469" i="4"/>
  <c r="G469" i="4"/>
  <c r="J469" i="4"/>
  <c r="K469" i="4"/>
  <c r="A470" i="4"/>
  <c r="G470" i="4"/>
  <c r="J470" i="4"/>
  <c r="A471" i="4"/>
  <c r="G471" i="4"/>
  <c r="J471" i="4"/>
  <c r="L471" i="4" s="1"/>
  <c r="K471" i="4"/>
  <c r="A472" i="4"/>
  <c r="G472" i="4"/>
  <c r="J472" i="4"/>
  <c r="A473" i="4"/>
  <c r="G473" i="4"/>
  <c r="A474" i="4"/>
  <c r="G474" i="4"/>
  <c r="J474" i="4"/>
  <c r="A475" i="4"/>
  <c r="G475" i="4"/>
  <c r="J475" i="4"/>
  <c r="K475" i="4"/>
  <c r="A476" i="4"/>
  <c r="G476" i="4"/>
  <c r="J476" i="4"/>
  <c r="A477" i="4"/>
  <c r="G477" i="4"/>
  <c r="J477" i="4"/>
  <c r="K477" i="4"/>
  <c r="A478" i="4"/>
  <c r="G478" i="4"/>
  <c r="J478" i="4"/>
  <c r="K478" i="4"/>
  <c r="A479" i="4"/>
  <c r="G479" i="4"/>
  <c r="K479" i="4"/>
  <c r="A480" i="4"/>
  <c r="G480" i="4"/>
  <c r="J480" i="4"/>
  <c r="K480" i="4"/>
  <c r="A481" i="4"/>
  <c r="G481" i="4"/>
  <c r="J481" i="4"/>
  <c r="A482" i="4"/>
  <c r="G482" i="4"/>
  <c r="A483" i="4"/>
  <c r="G483" i="4"/>
  <c r="K483" i="4"/>
  <c r="A484" i="4"/>
  <c r="G484" i="4"/>
  <c r="J484" i="4"/>
  <c r="A485" i="4"/>
  <c r="G485" i="4"/>
  <c r="J485" i="4"/>
  <c r="K485" i="4"/>
  <c r="A486" i="4"/>
  <c r="G486" i="4"/>
  <c r="J486" i="4"/>
  <c r="K486" i="4"/>
  <c r="A487" i="4"/>
  <c r="G487" i="4"/>
  <c r="J487" i="4"/>
  <c r="A488" i="4"/>
  <c r="G488" i="4"/>
  <c r="J488" i="4"/>
  <c r="K488" i="4"/>
  <c r="A489" i="4"/>
  <c r="G489" i="4"/>
  <c r="J489" i="4"/>
  <c r="L489" i="4" s="1"/>
  <c r="K489" i="4"/>
  <c r="A490" i="4"/>
  <c r="G490" i="4"/>
  <c r="J490" i="4"/>
  <c r="K490" i="4"/>
  <c r="A491" i="4"/>
  <c r="G491" i="4"/>
  <c r="J491" i="4"/>
  <c r="K491" i="4"/>
  <c r="A492" i="4"/>
  <c r="G492" i="4"/>
  <c r="J492" i="4"/>
  <c r="A493" i="4"/>
  <c r="G493" i="4"/>
  <c r="J493" i="4"/>
  <c r="K493" i="4"/>
  <c r="A494" i="4"/>
  <c r="G494" i="4"/>
  <c r="J494" i="4"/>
  <c r="K494" i="4"/>
  <c r="A495" i="4"/>
  <c r="G495" i="4"/>
  <c r="J495" i="4"/>
  <c r="A496" i="4"/>
  <c r="G496" i="4"/>
  <c r="A497" i="4"/>
  <c r="G497" i="4"/>
  <c r="J497" i="4"/>
  <c r="K497" i="4"/>
  <c r="A498" i="4"/>
  <c r="G498" i="4"/>
  <c r="J498" i="4"/>
  <c r="K498" i="4"/>
  <c r="A499" i="4"/>
  <c r="G499" i="4"/>
  <c r="J499" i="4"/>
  <c r="A500" i="4"/>
  <c r="G500" i="4"/>
  <c r="J500" i="4"/>
  <c r="K500" i="4"/>
  <c r="A2" i="4"/>
  <c r="A3" i="4"/>
  <c r="A4" i="4"/>
  <c r="A5" i="4"/>
  <c r="G2" i="4"/>
  <c r="G3" i="4"/>
  <c r="G4" i="4"/>
  <c r="G5" i="4"/>
  <c r="N2" i="2"/>
  <c r="N3" i="2"/>
  <c r="N5" i="2"/>
  <c r="N6" i="2"/>
  <c r="N7" i="2"/>
  <c r="N8" i="2"/>
  <c r="A5" i="2"/>
  <c r="A6" i="2"/>
  <c r="A7" i="2"/>
  <c r="A8" i="2"/>
  <c r="A2" i="2"/>
  <c r="A3" i="2"/>
  <c r="A4" i="2"/>
  <c r="A6" i="4"/>
  <c r="A7" i="4"/>
  <c r="A8" i="4"/>
  <c r="G6" i="4"/>
  <c r="G7" i="4"/>
  <c r="G8" i="4"/>
  <c r="X3" i="2"/>
  <c r="X4" i="2"/>
  <c r="X5" i="2"/>
  <c r="X6" i="2"/>
  <c r="X7" i="2"/>
  <c r="X8" i="2"/>
  <c r="X2" i="2"/>
  <c r="L388" i="4" l="1"/>
  <c r="L173" i="4"/>
  <c r="L363" i="4"/>
  <c r="L24" i="4"/>
  <c r="L414" i="4"/>
  <c r="L477" i="4"/>
  <c r="L403" i="4"/>
  <c r="L439" i="4"/>
  <c r="L443" i="4"/>
  <c r="K482" i="4"/>
  <c r="K472" i="4"/>
  <c r="L472" i="4" s="1"/>
  <c r="K463" i="4"/>
  <c r="L463" i="4" s="1"/>
  <c r="L460" i="4"/>
  <c r="K446" i="4"/>
  <c r="L446" i="4" s="1"/>
  <c r="K436" i="4"/>
  <c r="K433" i="4"/>
  <c r="K430" i="4"/>
  <c r="K417" i="4"/>
  <c r="L417" i="4" s="1"/>
  <c r="L410" i="4"/>
  <c r="L407" i="4"/>
  <c r="K404" i="4"/>
  <c r="K398" i="4"/>
  <c r="K391" i="4"/>
  <c r="L391" i="4" s="1"/>
  <c r="K381" i="4"/>
  <c r="L381" i="4" s="1"/>
  <c r="K374" i="4"/>
  <c r="L370" i="4"/>
  <c r="K352" i="4"/>
  <c r="K334" i="4"/>
  <c r="K327" i="4"/>
  <c r="L327" i="4" s="1"/>
  <c r="L287" i="4"/>
  <c r="L279" i="4"/>
  <c r="K266" i="4"/>
  <c r="K262" i="4"/>
  <c r="K258" i="4"/>
  <c r="K237" i="4"/>
  <c r="K216" i="4"/>
  <c r="L212" i="4"/>
  <c r="K204" i="4"/>
  <c r="K162" i="4"/>
  <c r="K145" i="4"/>
  <c r="K84" i="4"/>
  <c r="L84" i="4" s="1"/>
  <c r="L62" i="4"/>
  <c r="K45" i="4"/>
  <c r="L10" i="4"/>
  <c r="K499" i="4"/>
  <c r="L499" i="4" s="1"/>
  <c r="K496" i="4"/>
  <c r="L493" i="4"/>
  <c r="L490" i="4"/>
  <c r="K487" i="4"/>
  <c r="K484" i="4"/>
  <c r="K481" i="4"/>
  <c r="L481" i="4" s="1"/>
  <c r="L478" i="4"/>
  <c r="L475" i="4"/>
  <c r="K459" i="4"/>
  <c r="K452" i="4"/>
  <c r="L452" i="4" s="1"/>
  <c r="K435" i="4"/>
  <c r="L435" i="4" s="1"/>
  <c r="K409" i="4"/>
  <c r="L409" i="4" s="1"/>
  <c r="K406" i="4"/>
  <c r="L406" i="4" s="1"/>
  <c r="K400" i="4"/>
  <c r="L400" i="4" s="1"/>
  <c r="K397" i="4"/>
  <c r="L397" i="4" s="1"/>
  <c r="L394" i="4"/>
  <c r="L387" i="4"/>
  <c r="K373" i="4"/>
  <c r="L373" i="4" s="1"/>
  <c r="K314" i="4"/>
  <c r="K301" i="4"/>
  <c r="K286" i="4"/>
  <c r="K265" i="4"/>
  <c r="L265" i="4" s="1"/>
  <c r="K240" i="4"/>
  <c r="K223" i="4"/>
  <c r="L223" i="4" s="1"/>
  <c r="K215" i="4"/>
  <c r="K211" i="4"/>
  <c r="L190" i="4"/>
  <c r="K148" i="4"/>
  <c r="L140" i="4"/>
  <c r="K131" i="4"/>
  <c r="L131" i="4" s="1"/>
  <c r="K119" i="4"/>
  <c r="K92" i="4"/>
  <c r="K70" i="4"/>
  <c r="L48" i="4"/>
  <c r="K31" i="4"/>
  <c r="K13" i="4"/>
  <c r="L13" i="4" s="1"/>
  <c r="K495" i="4"/>
  <c r="K492" i="4"/>
  <c r="K474" i="4"/>
  <c r="L474" i="4" s="1"/>
  <c r="L468" i="4"/>
  <c r="K458" i="4"/>
  <c r="L441" i="4"/>
  <c r="K422" i="4"/>
  <c r="L422" i="4" s="1"/>
  <c r="L419" i="4"/>
  <c r="K393" i="4"/>
  <c r="K347" i="4"/>
  <c r="K336" i="4"/>
  <c r="K206" i="4"/>
  <c r="L156" i="4"/>
  <c r="K134" i="4"/>
  <c r="L134" i="4" s="1"/>
  <c r="K82" i="4"/>
  <c r="L82" i="4" s="1"/>
  <c r="K73" i="4"/>
  <c r="K56" i="4"/>
  <c r="K51" i="4"/>
  <c r="K34" i="4"/>
  <c r="K21" i="4"/>
  <c r="L21" i="4" s="1"/>
  <c r="L187" i="4"/>
  <c r="L334" i="4"/>
  <c r="L262" i="4"/>
  <c r="L237" i="4"/>
  <c r="L466" i="4"/>
  <c r="L449" i="4"/>
  <c r="L420" i="4"/>
  <c r="L330" i="4"/>
  <c r="L123" i="4"/>
  <c r="L101" i="4"/>
  <c r="L301" i="4"/>
  <c r="L240" i="4"/>
  <c r="L148" i="4"/>
  <c r="L165" i="4"/>
  <c r="L495" i="4"/>
  <c r="L492" i="4"/>
  <c r="L458" i="4"/>
  <c r="L411" i="4"/>
  <c r="L396" i="4"/>
  <c r="L382" i="4"/>
  <c r="J483" i="4"/>
  <c r="L483" i="4" s="1"/>
  <c r="K470" i="4"/>
  <c r="L470" i="4" s="1"/>
  <c r="K467" i="4"/>
  <c r="J464" i="4"/>
  <c r="K454" i="4"/>
  <c r="J447" i="4"/>
  <c r="L447" i="4" s="1"/>
  <c r="K440" i="4"/>
  <c r="J437" i="4"/>
  <c r="J434" i="4"/>
  <c r="L434" i="4" s="1"/>
  <c r="J431" i="4"/>
  <c r="K424" i="4"/>
  <c r="K418" i="4"/>
  <c r="J405" i="4"/>
  <c r="L405" i="4" s="1"/>
  <c r="J402" i="4"/>
  <c r="L402" i="4" s="1"/>
  <c r="J399" i="4"/>
  <c r="L399" i="4" s="1"/>
  <c r="K392" i="4"/>
  <c r="K385" i="4"/>
  <c r="L385" i="4" s="1"/>
  <c r="J375" i="4"/>
  <c r="K367" i="4"/>
  <c r="L367" i="4" s="1"/>
  <c r="J364" i="4"/>
  <c r="J353" i="4"/>
  <c r="K346" i="4"/>
  <c r="K342" i="4"/>
  <c r="K335" i="4"/>
  <c r="K331" i="4"/>
  <c r="L331" i="4" s="1"/>
  <c r="K320" i="4"/>
  <c r="K303" i="4"/>
  <c r="L303" i="4" s="1"/>
  <c r="K295" i="4"/>
  <c r="J291" i="4"/>
  <c r="L291" i="4" s="1"/>
  <c r="J284" i="4"/>
  <c r="L284" i="4" s="1"/>
  <c r="K267" i="4"/>
  <c r="J259" i="4"/>
  <c r="J234" i="4"/>
  <c r="K217" i="4"/>
  <c r="J209" i="4"/>
  <c r="L209" i="4" s="1"/>
  <c r="J205" i="4"/>
  <c r="J201" i="4"/>
  <c r="L201" i="4" s="1"/>
  <c r="J184" i="4"/>
  <c r="L184" i="4" s="1"/>
  <c r="J159" i="4"/>
  <c r="L159" i="4" s="1"/>
  <c r="K155" i="4"/>
  <c r="K142" i="4"/>
  <c r="J85" i="4"/>
  <c r="L85" i="4" s="1"/>
  <c r="K59" i="4"/>
  <c r="K37" i="4"/>
  <c r="J41" i="4"/>
  <c r="J77" i="4"/>
  <c r="J113" i="4"/>
  <c r="J149" i="4"/>
  <c r="J185" i="4"/>
  <c r="J221" i="4"/>
  <c r="J257" i="4"/>
  <c r="J285" i="4"/>
  <c r="J296" i="4"/>
  <c r="J321" i="4"/>
  <c r="J332" i="4"/>
  <c r="J357" i="4"/>
  <c r="J368" i="4"/>
  <c r="J393" i="4"/>
  <c r="J404" i="4"/>
  <c r="J429" i="4"/>
  <c r="L429" i="4" s="1"/>
  <c r="J440" i="4"/>
  <c r="J454" i="4"/>
  <c r="J11" i="4"/>
  <c r="J19" i="4"/>
  <c r="J22" i="4"/>
  <c r="J30" i="4"/>
  <c r="J33" i="4"/>
  <c r="J44" i="4"/>
  <c r="J55" i="4"/>
  <c r="J58" i="4"/>
  <c r="J66" i="4"/>
  <c r="J69" i="4"/>
  <c r="J80" i="4"/>
  <c r="J91" i="4"/>
  <c r="J94" i="4"/>
  <c r="J102" i="4"/>
  <c r="J105" i="4"/>
  <c r="J116" i="4"/>
  <c r="J127" i="4"/>
  <c r="J130" i="4"/>
  <c r="J138" i="4"/>
  <c r="J141" i="4"/>
  <c r="J152" i="4"/>
  <c r="J163" i="4"/>
  <c r="J166" i="4"/>
  <c r="J174" i="4"/>
  <c r="J177" i="4"/>
  <c r="J188" i="4"/>
  <c r="J199" i="4"/>
  <c r="J202" i="4"/>
  <c r="J210" i="4"/>
  <c r="J213" i="4"/>
  <c r="J224" i="4"/>
  <c r="J235" i="4"/>
  <c r="J238" i="4"/>
  <c r="J246" i="4"/>
  <c r="J249" i="4"/>
  <c r="J260" i="4"/>
  <c r="J263" i="4"/>
  <c r="J274" i="4"/>
  <c r="J277" i="4"/>
  <c r="J288" i="4"/>
  <c r="L288" i="4" s="1"/>
  <c r="J299" i="4"/>
  <c r="L299" i="4" s="1"/>
  <c r="J302" i="4"/>
  <c r="J310" i="4"/>
  <c r="L310" i="4" s="1"/>
  <c r="J313" i="4"/>
  <c r="J324" i="4"/>
  <c r="L324" i="4" s="1"/>
  <c r="J335" i="4"/>
  <c r="J338" i="4"/>
  <c r="L338" i="4" s="1"/>
  <c r="J346" i="4"/>
  <c r="J349" i="4"/>
  <c r="L349" i="4" s="1"/>
  <c r="J360" i="4"/>
  <c r="L360" i="4" s="1"/>
  <c r="J371" i="4"/>
  <c r="J374" i="4"/>
  <c r="L374" i="4" s="1"/>
  <c r="J36" i="4"/>
  <c r="J47" i="4"/>
  <c r="J72" i="4"/>
  <c r="J83" i="4"/>
  <c r="J108" i="4"/>
  <c r="L108" i="4" s="1"/>
  <c r="J119" i="4"/>
  <c r="J144" i="4"/>
  <c r="L144" i="4" s="1"/>
  <c r="J155" i="4"/>
  <c r="J180" i="4"/>
  <c r="L180" i="4" s="1"/>
  <c r="J191" i="4"/>
  <c r="J216" i="4"/>
  <c r="J227" i="4"/>
  <c r="L227" i="4" s="1"/>
  <c r="J252" i="4"/>
  <c r="L252" i="4" s="1"/>
  <c r="J266" i="4"/>
  <c r="J17" i="4"/>
  <c r="J53" i="4"/>
  <c r="J89" i="4"/>
  <c r="J125" i="4"/>
  <c r="J161" i="4"/>
  <c r="J197" i="4"/>
  <c r="J233" i="4"/>
  <c r="J272" i="4"/>
  <c r="J297" i="4"/>
  <c r="J308" i="4"/>
  <c r="J9" i="4"/>
  <c r="L9" i="4" s="1"/>
  <c r="J12" i="4"/>
  <c r="J20" i="4"/>
  <c r="L20" i="4" s="1"/>
  <c r="J31" i="4"/>
  <c r="J34" i="4"/>
  <c r="L34" i="4" s="1"/>
  <c r="J42" i="4"/>
  <c r="L42" i="4" s="1"/>
  <c r="J45" i="4"/>
  <c r="J56" i="4"/>
  <c r="J67" i="4"/>
  <c r="L67" i="4" s="1"/>
  <c r="J70" i="4"/>
  <c r="J78" i="4"/>
  <c r="L78" i="4" s="1"/>
  <c r="J81" i="4"/>
  <c r="L81" i="4" s="1"/>
  <c r="J92" i="4"/>
  <c r="L92" i="4" s="1"/>
  <c r="J103" i="4"/>
  <c r="L103" i="4" s="1"/>
  <c r="J106" i="4"/>
  <c r="L106" i="4" s="1"/>
  <c r="J114" i="4"/>
  <c r="J117" i="4"/>
  <c r="L117" i="4" s="1"/>
  <c r="J128" i="4"/>
  <c r="L128" i="4" s="1"/>
  <c r="J139" i="4"/>
  <c r="J142" i="4"/>
  <c r="J150" i="4"/>
  <c r="J153" i="4"/>
  <c r="L153" i="4" s="1"/>
  <c r="J164" i="4"/>
  <c r="J175" i="4"/>
  <c r="J178" i="4"/>
  <c r="J186" i="4"/>
  <c r="L186" i="4" s="1"/>
  <c r="J189" i="4"/>
  <c r="J200" i="4"/>
  <c r="J211" i="4"/>
  <c r="J214" i="4"/>
  <c r="J222" i="4"/>
  <c r="L222" i="4" s="1"/>
  <c r="J225" i="4"/>
  <c r="J236" i="4"/>
  <c r="L236" i="4" s="1"/>
  <c r="J247" i="4"/>
  <c r="L247" i="4" s="1"/>
  <c r="J250" i="4"/>
  <c r="L250" i="4" s="1"/>
  <c r="J258" i="4"/>
  <c r="L258" i="4" s="1"/>
  <c r="J261" i="4"/>
  <c r="L261" i="4" s="1"/>
  <c r="J264" i="4"/>
  <c r="L264" i="4" s="1"/>
  <c r="J275" i="4"/>
  <c r="J278" i="4"/>
  <c r="J286" i="4"/>
  <c r="J289" i="4"/>
  <c r="L289" i="4" s="1"/>
  <c r="J300" i="4"/>
  <c r="L300" i="4" s="1"/>
  <c r="J311" i="4"/>
  <c r="L311" i="4" s="1"/>
  <c r="J314" i="4"/>
  <c r="L314" i="4" s="1"/>
  <c r="J322" i="4"/>
  <c r="L322" i="4" s="1"/>
  <c r="J325" i="4"/>
  <c r="L325" i="4" s="1"/>
  <c r="J336" i="4"/>
  <c r="L336" i="4" s="1"/>
  <c r="J347" i="4"/>
  <c r="J350" i="4"/>
  <c r="L350" i="4" s="1"/>
  <c r="J358" i="4"/>
  <c r="L358" i="4" s="1"/>
  <c r="J361" i="4"/>
  <c r="L361" i="4" s="1"/>
  <c r="J372" i="4"/>
  <c r="L461" i="4"/>
  <c r="L438" i="4"/>
  <c r="L377" i="4"/>
  <c r="L364" i="4"/>
  <c r="L348" i="4"/>
  <c r="L315" i="4"/>
  <c r="L298" i="4"/>
  <c r="L248" i="4"/>
  <c r="L170" i="4"/>
  <c r="L57" i="4"/>
  <c r="L32" i="4"/>
  <c r="L498" i="4"/>
  <c r="L487" i="4"/>
  <c r="L484" i="4"/>
  <c r="L464" i="4"/>
  <c r="L432" i="4"/>
  <c r="L423" i="4"/>
  <c r="L351" i="4"/>
  <c r="L341" i="4"/>
  <c r="L328" i="4"/>
  <c r="L60" i="4"/>
  <c r="L340" i="4"/>
  <c r="L276" i="4"/>
  <c r="L176" i="4"/>
  <c r="L98" i="4"/>
  <c r="K16" i="4"/>
  <c r="K27" i="4"/>
  <c r="L27" i="4" s="1"/>
  <c r="K38" i="4"/>
  <c r="L38" i="4" s="1"/>
  <c r="K49" i="4"/>
  <c r="L49" i="4" s="1"/>
  <c r="K52" i="4"/>
  <c r="L52" i="4" s="1"/>
  <c r="K63" i="4"/>
  <c r="L63" i="4" s="1"/>
  <c r="K74" i="4"/>
  <c r="L74" i="4" s="1"/>
  <c r="K85" i="4"/>
  <c r="K88" i="4"/>
  <c r="L88" i="4" s="1"/>
  <c r="K99" i="4"/>
  <c r="L99" i="4" s="1"/>
  <c r="K110" i="4"/>
  <c r="L110" i="4" s="1"/>
  <c r="K121" i="4"/>
  <c r="K124" i="4"/>
  <c r="L124" i="4" s="1"/>
  <c r="K135" i="4"/>
  <c r="K146" i="4"/>
  <c r="K157" i="4"/>
  <c r="K160" i="4"/>
  <c r="K171" i="4"/>
  <c r="K182" i="4"/>
  <c r="K193" i="4"/>
  <c r="L193" i="4" s="1"/>
  <c r="K196" i="4"/>
  <c r="K207" i="4"/>
  <c r="K218" i="4"/>
  <c r="L218" i="4" s="1"/>
  <c r="K229" i="4"/>
  <c r="L229" i="4" s="1"/>
  <c r="K232" i="4"/>
  <c r="L232" i="4" s="1"/>
  <c r="K243" i="4"/>
  <c r="L243" i="4" s="1"/>
  <c r="K254" i="4"/>
  <c r="L254" i="4" s="1"/>
  <c r="K268" i="4"/>
  <c r="L268" i="4" s="1"/>
  <c r="K271" i="4"/>
  <c r="K282" i="4"/>
  <c r="K293" i="4"/>
  <c r="L293" i="4" s="1"/>
  <c r="K304" i="4"/>
  <c r="L304" i="4" s="1"/>
  <c r="K307" i="4"/>
  <c r="L307" i="4" s="1"/>
  <c r="K318" i="4"/>
  <c r="L318" i="4" s="1"/>
  <c r="K329" i="4"/>
  <c r="K340" i="4"/>
  <c r="K343" i="4"/>
  <c r="L343" i="4" s="1"/>
  <c r="K354" i="4"/>
  <c r="L354" i="4" s="1"/>
  <c r="K365" i="4"/>
  <c r="K376" i="4"/>
  <c r="L376" i="4" s="1"/>
  <c r="K379" i="4"/>
  <c r="L379" i="4" s="1"/>
  <c r="K390" i="4"/>
  <c r="L390" i="4" s="1"/>
  <c r="K401" i="4"/>
  <c r="K412" i="4"/>
  <c r="K415" i="4"/>
  <c r="L415" i="4" s="1"/>
  <c r="K426" i="4"/>
  <c r="L426" i="4" s="1"/>
  <c r="K437" i="4"/>
  <c r="K451" i="4"/>
  <c r="K462" i="4"/>
  <c r="L462" i="4" s="1"/>
  <c r="K465" i="4"/>
  <c r="L465" i="4" s="1"/>
  <c r="K473" i="4"/>
  <c r="K476" i="4"/>
  <c r="L476" i="4" s="1"/>
  <c r="K41" i="4"/>
  <c r="K77" i="4"/>
  <c r="K113" i="4"/>
  <c r="K149" i="4"/>
  <c r="K185" i="4"/>
  <c r="K221" i="4"/>
  <c r="K257" i="4"/>
  <c r="K285" i="4"/>
  <c r="K296" i="4"/>
  <c r="K321" i="4"/>
  <c r="K332" i="4"/>
  <c r="K357" i="4"/>
  <c r="K368" i="4"/>
  <c r="K11" i="4"/>
  <c r="K19" i="4"/>
  <c r="K22" i="4"/>
  <c r="K30" i="4"/>
  <c r="K33" i="4"/>
  <c r="K44" i="4"/>
  <c r="K55" i="4"/>
  <c r="K58" i="4"/>
  <c r="K66" i="4"/>
  <c r="K69" i="4"/>
  <c r="K80" i="4"/>
  <c r="K91" i="4"/>
  <c r="K94" i="4"/>
  <c r="K102" i="4"/>
  <c r="K105" i="4"/>
  <c r="K116" i="4"/>
  <c r="K127" i="4"/>
  <c r="K130" i="4"/>
  <c r="K138" i="4"/>
  <c r="K141" i="4"/>
  <c r="K152" i="4"/>
  <c r="K163" i="4"/>
  <c r="K166" i="4"/>
  <c r="K174" i="4"/>
  <c r="L174" i="4" s="1"/>
  <c r="K177" i="4"/>
  <c r="K188" i="4"/>
  <c r="K199" i="4"/>
  <c r="K202" i="4"/>
  <c r="K210" i="4"/>
  <c r="K213" i="4"/>
  <c r="K224" i="4"/>
  <c r="K235" i="4"/>
  <c r="K238" i="4"/>
  <c r="K246" i="4"/>
  <c r="K249" i="4"/>
  <c r="K260" i="4"/>
  <c r="K263" i="4"/>
  <c r="K274" i="4"/>
  <c r="K277" i="4"/>
  <c r="K14" i="4"/>
  <c r="L14" i="4" s="1"/>
  <c r="K25" i="4"/>
  <c r="K28" i="4"/>
  <c r="L28" i="4" s="1"/>
  <c r="K39" i="4"/>
  <c r="L39" i="4" s="1"/>
  <c r="K50" i="4"/>
  <c r="K61" i="4"/>
  <c r="K64" i="4"/>
  <c r="L64" i="4" s="1"/>
  <c r="K75" i="4"/>
  <c r="K86" i="4"/>
  <c r="K97" i="4"/>
  <c r="K100" i="4"/>
  <c r="K111" i="4"/>
  <c r="K122" i="4"/>
  <c r="L122" i="4" s="1"/>
  <c r="K133" i="4"/>
  <c r="K136" i="4"/>
  <c r="K147" i="4"/>
  <c r="K158" i="4"/>
  <c r="L158" i="4" s="1"/>
  <c r="K169" i="4"/>
  <c r="K172" i="4"/>
  <c r="K183" i="4"/>
  <c r="L183" i="4" s="1"/>
  <c r="K194" i="4"/>
  <c r="L194" i="4" s="1"/>
  <c r="K205" i="4"/>
  <c r="L205" i="4" s="1"/>
  <c r="K208" i="4"/>
  <c r="L208" i="4" s="1"/>
  <c r="K219" i="4"/>
  <c r="L219" i="4" s="1"/>
  <c r="K230" i="4"/>
  <c r="L230" i="4" s="1"/>
  <c r="K241" i="4"/>
  <c r="K244" i="4"/>
  <c r="L244" i="4" s="1"/>
  <c r="K255" i="4"/>
  <c r="L255" i="4" s="1"/>
  <c r="K269" i="4"/>
  <c r="L269" i="4" s="1"/>
  <c r="K280" i="4"/>
  <c r="L280" i="4" s="1"/>
  <c r="K283" i="4"/>
  <c r="L283" i="4" s="1"/>
  <c r="K294" i="4"/>
  <c r="L294" i="4" s="1"/>
  <c r="K305" i="4"/>
  <c r="K316" i="4"/>
  <c r="K319" i="4"/>
  <c r="K17" i="4"/>
  <c r="K53" i="4"/>
  <c r="K89" i="4"/>
  <c r="K125" i="4"/>
  <c r="K161" i="4"/>
  <c r="K197" i="4"/>
  <c r="K233" i="4"/>
  <c r="K272" i="4"/>
  <c r="K297" i="4"/>
  <c r="K308" i="4"/>
  <c r="K333" i="4"/>
  <c r="K344" i="4"/>
  <c r="L344" i="4" s="1"/>
  <c r="K369" i="4"/>
  <c r="L369" i="4" s="1"/>
  <c r="L497" i="4"/>
  <c r="L431" i="4"/>
  <c r="L425" i="4"/>
  <c r="L366" i="4"/>
  <c r="L353" i="4"/>
  <c r="L337" i="4"/>
  <c r="L317" i="4"/>
  <c r="L204" i="4"/>
  <c r="L172" i="4"/>
  <c r="L151" i="4"/>
  <c r="J112" i="4"/>
  <c r="L112" i="4" s="1"/>
  <c r="J87" i="4"/>
  <c r="L87" i="4" s="1"/>
  <c r="J73" i="4"/>
  <c r="L73" i="4" s="1"/>
  <c r="J59" i="4"/>
  <c r="J16" i="4"/>
  <c r="K9" i="4"/>
  <c r="L469" i="4"/>
  <c r="L486" i="4"/>
  <c r="L457" i="4"/>
  <c r="L494" i="4"/>
  <c r="J445" i="4"/>
  <c r="L445" i="4" s="1"/>
  <c r="J442" i="4"/>
  <c r="L442" i="4" s="1"/>
  <c r="J436" i="4"/>
  <c r="L436" i="4" s="1"/>
  <c r="J416" i="4"/>
  <c r="L416" i="4" s="1"/>
  <c r="J413" i="4"/>
  <c r="L413" i="4" s="1"/>
  <c r="J384" i="4"/>
  <c r="L384" i="4" s="1"/>
  <c r="K378" i="4"/>
  <c r="K375" i="4"/>
  <c r="K372" i="4"/>
  <c r="K359" i="4"/>
  <c r="L359" i="4" s="1"/>
  <c r="J333" i="4"/>
  <c r="J320" i="4"/>
  <c r="L320" i="4" s="1"/>
  <c r="K313" i="4"/>
  <c r="J306" i="4"/>
  <c r="L306" i="4" s="1"/>
  <c r="K292" i="4"/>
  <c r="J282" i="4"/>
  <c r="K275" i="4"/>
  <c r="J271" i="4"/>
  <c r="J253" i="4"/>
  <c r="K242" i="4"/>
  <c r="J239" i="4"/>
  <c r="K228" i="4"/>
  <c r="K225" i="4"/>
  <c r="K200" i="4"/>
  <c r="J196" i="4"/>
  <c r="J182" i="4"/>
  <c r="K175" i="4"/>
  <c r="J168" i="4"/>
  <c r="L168" i="4" s="1"/>
  <c r="J157" i="4"/>
  <c r="K154" i="4"/>
  <c r="K143" i="4"/>
  <c r="J136" i="4"/>
  <c r="K129" i="4"/>
  <c r="J115" i="4"/>
  <c r="L115" i="4" s="1"/>
  <c r="K104" i="4"/>
  <c r="J97" i="4"/>
  <c r="J90" i="4"/>
  <c r="L90" i="4" s="1"/>
  <c r="K83" i="4"/>
  <c r="L83" i="4" s="1"/>
  <c r="J76" i="4"/>
  <c r="L76" i="4" s="1"/>
  <c r="K65" i="4"/>
  <c r="J51" i="4"/>
  <c r="L51" i="4" s="1"/>
  <c r="J37" i="4"/>
  <c r="K26" i="4"/>
  <c r="J23" i="4"/>
  <c r="L23" i="4" s="1"/>
  <c r="L480" i="4"/>
  <c r="L207" i="4"/>
  <c r="L147" i="4"/>
  <c r="L401" i="4"/>
  <c r="L378" i="4"/>
  <c r="L365" i="4"/>
  <c r="J316" i="4"/>
  <c r="J292" i="4"/>
  <c r="J242" i="4"/>
  <c r="J228" i="4"/>
  <c r="K214" i="4"/>
  <c r="K203" i="4"/>
  <c r="J171" i="4"/>
  <c r="J154" i="4"/>
  <c r="L154" i="4" s="1"/>
  <c r="K150" i="4"/>
  <c r="L150" i="4" s="1"/>
  <c r="J143" i="4"/>
  <c r="L143" i="4" s="1"/>
  <c r="K132" i="4"/>
  <c r="J129" i="4"/>
  <c r="J111" i="4"/>
  <c r="J104" i="4"/>
  <c r="J86" i="4"/>
  <c r="K79" i="4"/>
  <c r="K72" i="4"/>
  <c r="J65" i="4"/>
  <c r="K54" i="4"/>
  <c r="K40" i="4"/>
  <c r="J26" i="4"/>
  <c r="L26" i="4" s="1"/>
  <c r="K15" i="4"/>
  <c r="K12" i="4"/>
  <c r="L451" i="4"/>
  <c r="L485" i="4"/>
  <c r="L433" i="4"/>
  <c r="L424" i="4"/>
  <c r="L342" i="4"/>
  <c r="J339" i="4"/>
  <c r="L339" i="4" s="1"/>
  <c r="J329" i="4"/>
  <c r="L329" i="4" s="1"/>
  <c r="J323" i="4"/>
  <c r="L323" i="4" s="1"/>
  <c r="J267" i="4"/>
  <c r="J256" i="4"/>
  <c r="L256" i="4" s="1"/>
  <c r="J231" i="4"/>
  <c r="L231" i="4" s="1"/>
  <c r="J217" i="4"/>
  <c r="L217" i="4" s="1"/>
  <c r="J203" i="4"/>
  <c r="K192" i="4"/>
  <c r="K189" i="4"/>
  <c r="K164" i="4"/>
  <c r="J160" i="4"/>
  <c r="J146" i="4"/>
  <c r="L146" i="4" s="1"/>
  <c r="K139" i="4"/>
  <c r="J132" i="4"/>
  <c r="J121" i="4"/>
  <c r="L121" i="4" s="1"/>
  <c r="K118" i="4"/>
  <c r="K107" i="4"/>
  <c r="J100" i="4"/>
  <c r="K93" i="4"/>
  <c r="J79" i="4"/>
  <c r="K68" i="4"/>
  <c r="J61" i="4"/>
  <c r="J54" i="4"/>
  <c r="K47" i="4"/>
  <c r="J40" i="4"/>
  <c r="K29" i="4"/>
  <c r="J15" i="4"/>
  <c r="L408" i="4"/>
  <c r="L500" i="4"/>
  <c r="L448" i="4"/>
  <c r="L488" i="4"/>
  <c r="L430" i="4"/>
  <c r="L352" i="4"/>
  <c r="J496" i="4"/>
  <c r="J482" i="4"/>
  <c r="J479" i="4"/>
  <c r="L479" i="4" s="1"/>
  <c r="J473" i="4"/>
  <c r="L473" i="4" s="1"/>
  <c r="J459" i="4"/>
  <c r="L459" i="4" s="1"/>
  <c r="J456" i="4"/>
  <c r="L456" i="4" s="1"/>
  <c r="K453" i="4"/>
  <c r="L453" i="4" s="1"/>
  <c r="J450" i="4"/>
  <c r="L450" i="4" s="1"/>
  <c r="K447" i="4"/>
  <c r="K444" i="4"/>
  <c r="L444" i="4" s="1"/>
  <c r="J427" i="4"/>
  <c r="L427" i="4" s="1"/>
  <c r="J421" i="4"/>
  <c r="L421" i="4" s="1"/>
  <c r="J418" i="4"/>
  <c r="L418" i="4" s="1"/>
  <c r="J412" i="4"/>
  <c r="J398" i="4"/>
  <c r="J395" i="4"/>
  <c r="L395" i="4" s="1"/>
  <c r="J392" i="4"/>
  <c r="L392" i="4" s="1"/>
  <c r="J389" i="4"/>
  <c r="L389" i="4" s="1"/>
  <c r="K386" i="4"/>
  <c r="L386" i="4" s="1"/>
  <c r="K383" i="4"/>
  <c r="L383" i="4" s="1"/>
  <c r="K371" i="4"/>
  <c r="J362" i="4"/>
  <c r="L362" i="4" s="1"/>
  <c r="J355" i="4"/>
  <c r="L355" i="4" s="1"/>
  <c r="K345" i="4"/>
  <c r="L345" i="4" s="1"/>
  <c r="K326" i="4"/>
  <c r="L326" i="4" s="1"/>
  <c r="J319" i="4"/>
  <c r="K312" i="4"/>
  <c r="L312" i="4" s="1"/>
  <c r="J309" i="4"/>
  <c r="L309" i="4" s="1"/>
  <c r="J305" i="4"/>
  <c r="K302" i="4"/>
  <c r="J295" i="4"/>
  <c r="L295" i="4" s="1"/>
  <c r="K281" i="4"/>
  <c r="L281" i="4" s="1"/>
  <c r="K278" i="4"/>
  <c r="K270" i="4"/>
  <c r="L270" i="4" s="1"/>
  <c r="K259" i="4"/>
  <c r="K252" i="4"/>
  <c r="J245" i="4"/>
  <c r="L245" i="4" s="1"/>
  <c r="K234" i="4"/>
  <c r="L234" i="4" s="1"/>
  <c r="K220" i="4"/>
  <c r="L220" i="4" s="1"/>
  <c r="J206" i="4"/>
  <c r="L206" i="4" s="1"/>
  <c r="K195" i="4"/>
  <c r="L195" i="4" s="1"/>
  <c r="J192" i="4"/>
  <c r="L192" i="4" s="1"/>
  <c r="K181" i="4"/>
  <c r="L181" i="4" s="1"/>
  <c r="K178" i="4"/>
  <c r="K167" i="4"/>
  <c r="J135" i="4"/>
  <c r="J118" i="4"/>
  <c r="K114" i="4"/>
  <c r="J107" i="4"/>
  <c r="K96" i="4"/>
  <c r="L96" i="4" s="1"/>
  <c r="J93" i="4"/>
  <c r="J75" i="4"/>
  <c r="L75" i="4" s="1"/>
  <c r="J68" i="4"/>
  <c r="L68" i="4" s="1"/>
  <c r="J50" i="4"/>
  <c r="L50" i="4" s="1"/>
  <c r="K43" i="4"/>
  <c r="L43" i="4" s="1"/>
  <c r="K36" i="4"/>
  <c r="J29" i="4"/>
  <c r="K18" i="4"/>
  <c r="L491" i="4"/>
  <c r="L241" i="4"/>
  <c r="L169" i="4"/>
  <c r="L133" i="4"/>
  <c r="L25" i="4"/>
  <c r="L455" i="4"/>
  <c r="L380" i="4"/>
  <c r="L251" i="4"/>
  <c r="L215" i="4"/>
  <c r="L179" i="4"/>
  <c r="L71" i="4"/>
  <c r="L35" i="4"/>
  <c r="L66" i="4"/>
  <c r="L428" i="4"/>
  <c r="L356" i="4"/>
  <c r="L191" i="4"/>
  <c r="L467" i="4"/>
  <c r="L253" i="4"/>
  <c r="L145" i="4"/>
  <c r="L109" i="4"/>
  <c r="L198" i="4"/>
  <c r="L162" i="4"/>
  <c r="L126" i="4"/>
  <c r="L18" i="4"/>
  <c r="L239" i="4"/>
  <c r="L167" i="4"/>
  <c r="L95" i="4"/>
  <c r="K3" i="4"/>
  <c r="K4" i="4"/>
  <c r="K7" i="4"/>
  <c r="K8" i="4"/>
  <c r="K5" i="4"/>
  <c r="K6" i="4"/>
  <c r="B4" i="6"/>
  <c r="U3" i="2"/>
  <c r="U4" i="2"/>
  <c r="U5" i="2"/>
  <c r="U6" i="2"/>
  <c r="U7" i="2"/>
  <c r="U8" i="2"/>
  <c r="U2" i="2"/>
  <c r="S3" i="2"/>
  <c r="S4" i="2"/>
  <c r="S5" i="2"/>
  <c r="S6" i="2"/>
  <c r="S7" i="2"/>
  <c r="S8" i="2"/>
  <c r="S2" i="2"/>
  <c r="Q8" i="2"/>
  <c r="P8" i="2"/>
  <c r="O8" i="2"/>
  <c r="Q7" i="2"/>
  <c r="P7" i="2"/>
  <c r="O7" i="2"/>
  <c r="Q6" i="2"/>
  <c r="P6" i="2"/>
  <c r="O6" i="2"/>
  <c r="Q5" i="2"/>
  <c r="P5" i="2"/>
  <c r="O5" i="2"/>
  <c r="J4" i="4"/>
  <c r="Q4" i="2"/>
  <c r="P4" i="2"/>
  <c r="O4" i="2"/>
  <c r="J3" i="4"/>
  <c r="Q3" i="2"/>
  <c r="P3" i="2"/>
  <c r="O3" i="2"/>
  <c r="Q2" i="2"/>
  <c r="P2" i="2"/>
  <c r="O2" i="2"/>
  <c r="L196" i="4" l="1"/>
  <c r="L202" i="4"/>
  <c r="L132" i="4"/>
  <c r="L398" i="4"/>
  <c r="L119" i="4"/>
  <c r="L335" i="4"/>
  <c r="L246" i="4"/>
  <c r="L116" i="4"/>
  <c r="L259" i="4"/>
  <c r="L211" i="4"/>
  <c r="L157" i="4"/>
  <c r="L59" i="4"/>
  <c r="L31" i="4"/>
  <c r="L393" i="4"/>
  <c r="L216" i="4"/>
  <c r="L482" i="4"/>
  <c r="L37" i="4"/>
  <c r="L286" i="4"/>
  <c r="L111" i="4"/>
  <c r="L282" i="4"/>
  <c r="L437" i="4"/>
  <c r="L224" i="4"/>
  <c r="L138" i="4"/>
  <c r="L55" i="4"/>
  <c r="L30" i="4"/>
  <c r="L412" i="4"/>
  <c r="L155" i="4"/>
  <c r="L496" i="4"/>
  <c r="L372" i="4"/>
  <c r="L404" i="4"/>
  <c r="L129" i="4"/>
  <c r="L266" i="4"/>
  <c r="L347" i="4"/>
  <c r="L178" i="4"/>
  <c r="L36" i="4"/>
  <c r="L210" i="4"/>
  <c r="L127" i="4"/>
  <c r="L33" i="4"/>
  <c r="L332" i="4"/>
  <c r="L321" i="4"/>
  <c r="L15" i="4"/>
  <c r="L47" i="4"/>
  <c r="L296" i="4"/>
  <c r="L267" i="4"/>
  <c r="L107" i="4"/>
  <c r="L54" i="4"/>
  <c r="L160" i="4"/>
  <c r="L70" i="4"/>
  <c r="L272" i="4"/>
  <c r="L285" i="4"/>
  <c r="L308" i="4"/>
  <c r="L61" i="4"/>
  <c r="L228" i="4"/>
  <c r="L136" i="4"/>
  <c r="L375" i="4"/>
  <c r="L305" i="4"/>
  <c r="L86" i="4"/>
  <c r="L142" i="4"/>
  <c r="L56" i="4"/>
  <c r="L346" i="4"/>
  <c r="L454" i="4"/>
  <c r="L271" i="4"/>
  <c r="L16" i="4"/>
  <c r="L97" i="4"/>
  <c r="L45" i="4"/>
  <c r="L161" i="4"/>
  <c r="L440" i="4"/>
  <c r="L200" i="4"/>
  <c r="L114" i="4"/>
  <c r="L368" i="4"/>
  <c r="L203" i="4"/>
  <c r="L102" i="4"/>
  <c r="L29" i="4"/>
  <c r="L316" i="4"/>
  <c r="L89" i="4"/>
  <c r="L238" i="4"/>
  <c r="L152" i="4"/>
  <c r="L113" i="4"/>
  <c r="L100" i="4"/>
  <c r="L278" i="4"/>
  <c r="L53" i="4"/>
  <c r="L313" i="4"/>
  <c r="L235" i="4"/>
  <c r="L141" i="4"/>
  <c r="L58" i="4"/>
  <c r="L77" i="4"/>
  <c r="L275" i="4"/>
  <c r="L189" i="4"/>
  <c r="L17" i="4"/>
  <c r="L72" i="4"/>
  <c r="L41" i="4"/>
  <c r="L319" i="4"/>
  <c r="L12" i="4"/>
  <c r="L302" i="4"/>
  <c r="L213" i="4"/>
  <c r="L130" i="4"/>
  <c r="L44" i="4"/>
  <c r="L357" i="4"/>
  <c r="L93" i="4"/>
  <c r="L40" i="4"/>
  <c r="L171" i="4"/>
  <c r="L182" i="4"/>
  <c r="L164" i="4"/>
  <c r="L297" i="4"/>
  <c r="L371" i="4"/>
  <c r="L277" i="4"/>
  <c r="L199" i="4"/>
  <c r="L105" i="4"/>
  <c r="L22" i="4"/>
  <c r="L274" i="4"/>
  <c r="L188" i="4"/>
  <c r="L19" i="4"/>
  <c r="L233" i="4"/>
  <c r="L263" i="4"/>
  <c r="L177" i="4"/>
  <c r="L94" i="4"/>
  <c r="L11" i="4"/>
  <c r="L257" i="4"/>
  <c r="L333" i="4"/>
  <c r="L225" i="4"/>
  <c r="L197" i="4"/>
  <c r="L260" i="4"/>
  <c r="L91" i="4"/>
  <c r="L221" i="4"/>
  <c r="L175" i="4"/>
  <c r="L118" i="4"/>
  <c r="L242" i="4"/>
  <c r="L139" i="4"/>
  <c r="L249" i="4"/>
  <c r="L166" i="4"/>
  <c r="L185" i="4"/>
  <c r="L65" i="4"/>
  <c r="L80" i="4"/>
  <c r="L135" i="4"/>
  <c r="L79" i="4"/>
  <c r="L104" i="4"/>
  <c r="L292" i="4"/>
  <c r="L214" i="4"/>
  <c r="L125" i="4"/>
  <c r="L163" i="4"/>
  <c r="L69" i="4"/>
  <c r="L149" i="4"/>
  <c r="L4" i="4"/>
  <c r="J8" i="4"/>
  <c r="L8" i="4" s="1"/>
  <c r="J5" i="4"/>
  <c r="L5" i="4" s="1"/>
  <c r="J6" i="4"/>
  <c r="L6" i="4" s="1"/>
  <c r="J7" i="4"/>
  <c r="L7" i="4" s="1"/>
  <c r="K2" i="4"/>
  <c r="B3" i="6"/>
  <c r="J2" i="4"/>
  <c r="B2" i="6"/>
  <c r="L2" i="4" l="1"/>
  <c r="L3" i="4"/>
</calcChain>
</file>

<file path=xl/sharedStrings.xml><?xml version="1.0" encoding="utf-8"?>
<sst xmlns="http://schemas.openxmlformats.org/spreadsheetml/2006/main" count="121" uniqueCount="84">
  <si>
    <t>STT</t>
  </si>
  <si>
    <t>Tên phương tiện</t>
  </si>
  <si>
    <t>Số đăng ký</t>
  </si>
  <si>
    <t>Trọng tải (Tấn)</t>
  </si>
  <si>
    <t>Ghi chú</t>
  </si>
  <si>
    <t>GCN đăng ký</t>
  </si>
  <si>
    <t>Ngày cấp</t>
  </si>
  <si>
    <t>Hết hạn GCN</t>
  </si>
  <si>
    <t>Đăng kiểm</t>
  </si>
  <si>
    <t>Hết hạn ĐK</t>
  </si>
  <si>
    <t>Bảo hiểm</t>
  </si>
  <si>
    <t>Hết hạn BH</t>
  </si>
  <si>
    <t>Trạng thái GCN</t>
  </si>
  <si>
    <t>Trạng thái ĐK</t>
  </si>
  <si>
    <t>Trạng thái BH</t>
  </si>
  <si>
    <t>Thuyền trưởng</t>
  </si>
  <si>
    <t>Hạng</t>
  </si>
  <si>
    <t>Máy trưởng</t>
  </si>
  <si>
    <t>Thủy thủ</t>
  </si>
  <si>
    <t>Sổ danh bạ TV</t>
  </si>
  <si>
    <t>Giờ vào</t>
  </si>
  <si>
    <t>Giờ rời</t>
  </si>
  <si>
    <t>Loại hàng</t>
  </si>
  <si>
    <t>Hóa đơn/CT</t>
  </si>
  <si>
    <t>Hồ sơ PT</t>
  </si>
  <si>
    <t>Kết quả</t>
  </si>
  <si>
    <t>Hồ sơ đầy đủ</t>
  </si>
  <si>
    <t>Hồ sơ thiếu</t>
  </si>
  <si>
    <t>Lượt vào/rời</t>
  </si>
  <si>
    <t>Đủ hồ sơ</t>
  </si>
  <si>
    <t>THỐNG KÊ NHANH SỐ LƯỢNG PHƯƠNG TIỆN, HỒ SƠ ĐẦY ĐỦ/THIẾU, GIẤY TỜ HẾT HẠN,...</t>
  </si>
  <si>
    <t>Công suất (HP)</t>
  </si>
  <si>
    <t>Hồ sơ Thuyền viên</t>
  </si>
  <si>
    <t xml:space="preserve"> SG 8028</t>
  </si>
  <si>
    <t>V50-06942</t>
  </si>
  <si>
    <t>5785/ĐK</t>
  </si>
  <si>
    <t>Nguyễn Kim Ngân</t>
  </si>
  <si>
    <t>Nguyễn Hoài Thuận</t>
  </si>
  <si>
    <t>Có</t>
  </si>
  <si>
    <t>Nguyễn Quốc Dũng</t>
  </si>
  <si>
    <t>Trạng Thái Thuyền Viên</t>
  </si>
  <si>
    <t>TG 15292</t>
  </si>
  <si>
    <t>14008/ĐK</t>
  </si>
  <si>
    <t>V63-12126</t>
  </si>
  <si>
    <t>Nguyễn Hữu Tài</t>
  </si>
  <si>
    <t>Nguyễn Thị Mộng Tuyết</t>
  </si>
  <si>
    <t>Đinh Khải An</t>
  </si>
  <si>
    <t>Ngày đến</t>
  </si>
  <si>
    <t>Ngày rời</t>
  </si>
  <si>
    <t>Lúa Mì</t>
  </si>
  <si>
    <t>TG 15769</t>
  </si>
  <si>
    <t>14473/ĐK</t>
  </si>
  <si>
    <t>Nguyễn Quốc Toàn</t>
  </si>
  <si>
    <t>Lữ Thị Kiều Trang</t>
  </si>
  <si>
    <t>Không</t>
  </si>
  <si>
    <t>Khai hệ thống</t>
  </si>
  <si>
    <t>SG 7749</t>
  </si>
  <si>
    <t>1803/ĐK</t>
  </si>
  <si>
    <t>V50-06581</t>
  </si>
  <si>
    <t>Phạm Hoàng Anh</t>
  </si>
  <si>
    <t>Nguyễn Thị Ngọc Thủy</t>
  </si>
  <si>
    <t>Võ Thanh Tuyên</t>
  </si>
  <si>
    <t>Viên nén</t>
  </si>
  <si>
    <t>SG 8019</t>
  </si>
  <si>
    <t>6537/ĐK</t>
  </si>
  <si>
    <t>V50-06943</t>
  </si>
  <si>
    <t>Châu Văn Tèo</t>
  </si>
  <si>
    <t>Châu Anh Tuấn</t>
  </si>
  <si>
    <t>Huỳnh Trọng Duy</t>
  </si>
  <si>
    <t>SG 8272</t>
  </si>
  <si>
    <t>1554/ĐK</t>
  </si>
  <si>
    <t>V50-07153</t>
  </si>
  <si>
    <t>Lê Văn Minh</t>
  </si>
  <si>
    <t>Đinh Thị Bình</t>
  </si>
  <si>
    <t>Nguyễn Thanh Ngọc</t>
  </si>
  <si>
    <t>SG 5798</t>
  </si>
  <si>
    <t>8604/ĐK</t>
  </si>
  <si>
    <t>V50-04515</t>
  </si>
  <si>
    <t>Không thời hạn</t>
  </si>
  <si>
    <t>Lê Hiền</t>
  </si>
  <si>
    <t>Vũ Thị Thu Hương</t>
  </si>
  <si>
    <t>Lê Vinh</t>
  </si>
  <si>
    <t>V63-12714</t>
  </si>
  <si>
    <t>Nguyễn Hoài 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</si>
</sst>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1"/>
      <color theme="1"/>
      <name val="Calibri"/>
      <family val="2"/>
      <scheme val="minor"/>
    </font>
    <font>
      <sz val="11"/>
      <name val="Times New Roman"/>
      <family val="1"/>
      <charset val="163"/>
    </font>
    <font>
      <sz val="14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165" fontId="2" fillId="0" borderId="1" xfId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AFC71EC9-020D-4A91-B14A-27BF8F6895B9}"/>
    <cellStyle name="Normal" xfId="0" builtinId="0"/>
    <cellStyle name="Normal 2" xfId="2" xr:uid="{CA12EABB-C967-463D-956A-C18F5738BC91}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zoomScale="77" zoomScaleNormal="70" workbookViewId="0">
      <pane ySplit="1" topLeftCell="A2" activePane="bottomLeft" state="frozen"/>
      <selection pane="bottomLeft" activeCell="F12" sqref="F12"/>
    </sheetView>
  </sheetViews>
  <sheetFormatPr defaultColWidth="8.77734375" defaultRowHeight="14.4" x14ac:dyDescent="0.25"/>
  <cols>
    <col min="1" max="1" width="4.6640625" style="5" bestFit="1" customWidth="1"/>
    <col min="2" max="2" width="23.77734375" style="1" customWidth="1"/>
    <col min="3" max="3" width="15.44140625" style="5" customWidth="1"/>
    <col min="4" max="4" width="15.6640625" style="5" customWidth="1"/>
    <col min="5" max="5" width="16.44140625" style="5" customWidth="1"/>
    <col min="6" max="6" width="13.21875" style="5" customWidth="1"/>
    <col min="7" max="7" width="15.88671875" style="5" customWidth="1"/>
    <col min="8" max="8" width="14.5546875" style="5" customWidth="1"/>
    <col min="9" max="9" width="13.21875" style="5" customWidth="1"/>
    <col min="10" max="10" width="17.21875" style="5" customWidth="1"/>
    <col min="11" max="11" width="14.77734375" style="5" customWidth="1"/>
    <col min="12" max="12" width="13.21875" style="5" customWidth="1"/>
    <col min="13" max="13" width="13.77734375" style="5" customWidth="1"/>
    <col min="14" max="14" width="9.44140625" style="5" customWidth="1"/>
    <col min="15" max="15" width="16.88671875" style="5" customWidth="1"/>
    <col min="16" max="16" width="15.44140625" style="5" customWidth="1"/>
    <col min="17" max="17" width="15.77734375" style="5" customWidth="1"/>
    <col min="18" max="18" width="17.77734375" style="5" customWidth="1"/>
    <col min="19" max="19" width="8.77734375" style="5"/>
    <col min="20" max="20" width="21.88671875" style="5" bestFit="1" customWidth="1"/>
    <col min="21" max="21" width="8.5546875" style="5" customWidth="1"/>
    <col min="22" max="22" width="19.77734375" style="5" customWidth="1"/>
    <col min="23" max="23" width="16.33203125" style="5" customWidth="1"/>
    <col min="24" max="24" width="24.21875" style="5" customWidth="1"/>
    <col min="25" max="25" width="16.33203125" style="5" customWidth="1"/>
    <col min="26" max="26" width="22.21875" style="5" customWidth="1"/>
    <col min="27" max="16384" width="8.77734375" style="5"/>
  </cols>
  <sheetData>
    <row r="1" spans="1:26" ht="37.950000000000003" customHeight="1" x14ac:dyDescent="0.3">
      <c r="A1" s="3" t="s">
        <v>0</v>
      </c>
      <c r="B1" s="3" t="s">
        <v>1</v>
      </c>
      <c r="C1" s="3" t="s">
        <v>3</v>
      </c>
      <c r="D1" s="3" t="s">
        <v>31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6</v>
      </c>
      <c r="J1" s="3" t="s">
        <v>9</v>
      </c>
      <c r="K1" s="3" t="s">
        <v>10</v>
      </c>
      <c r="L1" s="3" t="s">
        <v>6</v>
      </c>
      <c r="M1" s="3" t="s">
        <v>11</v>
      </c>
      <c r="N1" s="3" t="s">
        <v>29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16</v>
      </c>
      <c r="V1" s="3" t="s">
        <v>18</v>
      </c>
      <c r="W1" s="3" t="s">
        <v>19</v>
      </c>
      <c r="X1" s="3" t="s">
        <v>40</v>
      </c>
      <c r="Y1" s="3" t="s">
        <v>55</v>
      </c>
      <c r="Z1" s="3" t="s">
        <v>4</v>
      </c>
    </row>
    <row r="2" spans="1:26" x14ac:dyDescent="0.3">
      <c r="A2" s="4">
        <f t="shared" ref="A2:A65" si="0">ROW()-1</f>
        <v>1</v>
      </c>
      <c r="B2" s="4" t="s">
        <v>33</v>
      </c>
      <c r="C2" s="7">
        <v>1600</v>
      </c>
      <c r="D2" s="4">
        <v>400</v>
      </c>
      <c r="E2" s="4" t="s">
        <v>35</v>
      </c>
      <c r="F2" s="8">
        <v>42893</v>
      </c>
      <c r="G2" s="4" t="s">
        <v>78</v>
      </c>
      <c r="H2" s="8" t="s">
        <v>34</v>
      </c>
      <c r="I2" s="8">
        <v>46174</v>
      </c>
      <c r="J2" s="8">
        <v>46532</v>
      </c>
      <c r="K2" s="9">
        <v>8154841</v>
      </c>
      <c r="L2" s="8">
        <v>46168</v>
      </c>
      <c r="M2" s="8">
        <v>46538</v>
      </c>
      <c r="N2" s="4" t="str">
        <f t="shared" ref="N2:N55" si="1">IF(AND(E2&lt;&gt;"",H2&lt;&gt;"",K2&lt;&gt;""),"ĐỦ","THIẾU")</f>
        <v>ĐỦ</v>
      </c>
      <c r="O2" s="4" t="str">
        <f t="shared" ref="O2:O32" ca="1" si="2">IF(G2="","",IF(G2&lt;TODAY(),"HẾT HẠN","CÒN HẠN"))</f>
        <v>CÒN HẠN</v>
      </c>
      <c r="P2" s="4" t="str">
        <f t="shared" ref="P2:P32" ca="1" si="3">IF(J2="","",IF(J2&lt;TODAY(),"HẾT HẠN","CÒN HẠN"))</f>
        <v>CÒN HẠN</v>
      </c>
      <c r="Q2" s="4" t="str">
        <f t="shared" ref="Q2:Q32" ca="1" si="4">IF(M2="","",IF(M2&lt;TODAY(),"HẾT HẠN","CÒN HẠN"))</f>
        <v>CÒN HẠN</v>
      </c>
      <c r="R2" s="4" t="s">
        <v>36</v>
      </c>
      <c r="S2" s="4" t="str">
        <f>IF(C2&gt;1000,"T1",IF(C2&gt;=500,"T2","T3"))</f>
        <v>T1</v>
      </c>
      <c r="T2" s="4" t="s">
        <v>37</v>
      </c>
      <c r="U2" s="4" t="str">
        <f>IF(D2&lt;=250,"M3",IF(D2&lt;=1000,"M2","M1"))</f>
        <v>M2</v>
      </c>
      <c r="V2" s="4" t="s">
        <v>39</v>
      </c>
      <c r="W2" s="4" t="s">
        <v>38</v>
      </c>
      <c r="X2" s="4" t="str">
        <f>IF(AND(R2&lt;&gt;"",T2&lt;&gt;"",W2="Có"),"PHÙ HỢP","KHÔNG PHÙ HỢP")</f>
        <v>PHÙ HỢP</v>
      </c>
      <c r="Y2" s="4" t="s">
        <v>38</v>
      </c>
      <c r="Z2" s="4"/>
    </row>
    <row r="3" spans="1:26" x14ac:dyDescent="0.3">
      <c r="A3" s="4">
        <f t="shared" si="0"/>
        <v>2</v>
      </c>
      <c r="B3" s="4" t="s">
        <v>41</v>
      </c>
      <c r="C3" s="7">
        <v>1290</v>
      </c>
      <c r="D3" s="4">
        <v>380</v>
      </c>
      <c r="E3" s="4" t="s">
        <v>42</v>
      </c>
      <c r="F3" s="8">
        <v>42433</v>
      </c>
      <c r="G3" s="4" t="s">
        <v>78</v>
      </c>
      <c r="H3" s="4" t="s">
        <v>43</v>
      </c>
      <c r="I3" s="8">
        <v>46108</v>
      </c>
      <c r="J3" s="8">
        <v>46473</v>
      </c>
      <c r="K3" s="4">
        <v>7342177</v>
      </c>
      <c r="L3" s="8">
        <v>46210</v>
      </c>
      <c r="M3" s="8">
        <v>46575</v>
      </c>
      <c r="N3" s="4" t="str">
        <f t="shared" si="1"/>
        <v>ĐỦ</v>
      </c>
      <c r="O3" s="4" t="str">
        <f t="shared" ca="1" si="2"/>
        <v>CÒN HẠN</v>
      </c>
      <c r="P3" s="4" t="str">
        <f t="shared" ca="1" si="3"/>
        <v>CÒN HẠN</v>
      </c>
      <c r="Q3" s="4" t="str">
        <f t="shared" ca="1" si="4"/>
        <v>CÒN HẠN</v>
      </c>
      <c r="R3" s="4" t="s">
        <v>44</v>
      </c>
      <c r="S3" s="4" t="str">
        <f t="shared" ref="S3:S65" si="5">IF(C3&gt;1000,"T1",IF(C3&gt;=500,"T2","T3"))</f>
        <v>T1</v>
      </c>
      <c r="T3" s="4" t="s">
        <v>45</v>
      </c>
      <c r="U3" s="4" t="str">
        <f t="shared" ref="U3:U65" si="6">IF(D3&lt;=250,"M3",IF(D3&lt;=1000,"M2","M1"))</f>
        <v>M2</v>
      </c>
      <c r="V3" s="4" t="s">
        <v>46</v>
      </c>
      <c r="W3" s="4" t="s">
        <v>38</v>
      </c>
      <c r="X3" s="4" t="str">
        <f t="shared" ref="X3:X65" si="7">IF(AND(R3&lt;&gt;"",T3&lt;&gt;"",W3="Có"),"PHÙ HỢP","KHÔNG PHÙ HỢP")</f>
        <v>PHÙ HỢP</v>
      </c>
      <c r="Y3" s="4" t="s">
        <v>38</v>
      </c>
      <c r="Z3" s="4"/>
    </row>
    <row r="4" spans="1:26" x14ac:dyDescent="0.3">
      <c r="A4" s="4">
        <f t="shared" si="0"/>
        <v>3</v>
      </c>
      <c r="B4" s="4" t="s">
        <v>50</v>
      </c>
      <c r="C4" s="7">
        <v>1618</v>
      </c>
      <c r="D4" s="4">
        <v>385</v>
      </c>
      <c r="E4" s="4" t="s">
        <v>51</v>
      </c>
      <c r="F4" s="8">
        <v>43131</v>
      </c>
      <c r="G4" s="4" t="s">
        <v>78</v>
      </c>
      <c r="H4" s="4" t="s">
        <v>82</v>
      </c>
      <c r="I4" s="8">
        <v>46048</v>
      </c>
      <c r="J4" s="8">
        <v>46413</v>
      </c>
      <c r="K4" s="4">
        <v>6437238</v>
      </c>
      <c r="L4" s="8">
        <v>46200</v>
      </c>
      <c r="M4" s="8">
        <v>46382</v>
      </c>
      <c r="N4" s="4" t="str">
        <f t="shared" si="1"/>
        <v>ĐỦ</v>
      </c>
      <c r="O4" s="4" t="str">
        <f t="shared" ca="1" si="2"/>
        <v>CÒN HẠN</v>
      </c>
      <c r="P4" s="4" t="str">
        <f t="shared" ca="1" si="3"/>
        <v>CÒN HẠN</v>
      </c>
      <c r="Q4" s="4" t="str">
        <f t="shared" ca="1" si="4"/>
        <v>CÒN HẠN</v>
      </c>
      <c r="R4" s="4" t="s">
        <v>52</v>
      </c>
      <c r="S4" s="4" t="str">
        <f t="shared" si="5"/>
        <v>T1</v>
      </c>
      <c r="T4" s="4" t="s">
        <v>53</v>
      </c>
      <c r="U4" s="4" t="str">
        <f t="shared" si="6"/>
        <v>M2</v>
      </c>
      <c r="V4" s="4" t="s">
        <v>83</v>
      </c>
      <c r="W4" s="4" t="s">
        <v>38</v>
      </c>
      <c r="X4" s="4" t="str">
        <f t="shared" si="7"/>
        <v>PHÙ HỢP</v>
      </c>
      <c r="Y4" s="4" t="s">
        <v>38</v>
      </c>
      <c r="Z4" s="4"/>
    </row>
    <row r="5" spans="1:26" x14ac:dyDescent="0.3">
      <c r="A5" s="4">
        <f t="shared" si="0"/>
        <v>4</v>
      </c>
      <c r="B5" s="4" t="s">
        <v>56</v>
      </c>
      <c r="C5" s="7">
        <v>1600</v>
      </c>
      <c r="D5" s="4">
        <v>380</v>
      </c>
      <c r="E5" s="4" t="s">
        <v>57</v>
      </c>
      <c r="F5" s="8">
        <v>42503</v>
      </c>
      <c r="G5" s="4" t="s">
        <v>78</v>
      </c>
      <c r="H5" s="4" t="s">
        <v>58</v>
      </c>
      <c r="I5" s="8">
        <v>45937</v>
      </c>
      <c r="J5" s="8">
        <v>46277</v>
      </c>
      <c r="K5" s="4">
        <v>7731971</v>
      </c>
      <c r="L5" s="8">
        <v>46292</v>
      </c>
      <c r="M5" s="8">
        <v>46292</v>
      </c>
      <c r="N5" s="4" t="str">
        <f t="shared" si="1"/>
        <v>ĐỦ</v>
      </c>
      <c r="O5" s="4" t="str">
        <f t="shared" ca="1" si="2"/>
        <v>CÒN HẠN</v>
      </c>
      <c r="P5" s="4" t="str">
        <f t="shared" ca="1" si="3"/>
        <v>CÒN HẠN</v>
      </c>
      <c r="Q5" s="4" t="str">
        <f t="shared" ca="1" si="4"/>
        <v>CÒN HẠN</v>
      </c>
      <c r="R5" s="4" t="s">
        <v>59</v>
      </c>
      <c r="S5" s="4" t="str">
        <f t="shared" si="5"/>
        <v>T1</v>
      </c>
      <c r="T5" s="4" t="s">
        <v>60</v>
      </c>
      <c r="U5" s="4" t="str">
        <f t="shared" si="6"/>
        <v>M2</v>
      </c>
      <c r="V5" s="4" t="s">
        <v>61</v>
      </c>
      <c r="W5" s="4" t="s">
        <v>38</v>
      </c>
      <c r="X5" s="4" t="str">
        <f t="shared" si="7"/>
        <v>PHÙ HỢP</v>
      </c>
      <c r="Y5" s="4" t="s">
        <v>54</v>
      </c>
      <c r="Z5" s="4"/>
    </row>
    <row r="6" spans="1:26" x14ac:dyDescent="0.3">
      <c r="A6" s="4">
        <f t="shared" si="0"/>
        <v>5</v>
      </c>
      <c r="B6" s="4" t="s">
        <v>63</v>
      </c>
      <c r="C6" s="7">
        <v>1600</v>
      </c>
      <c r="D6" s="4">
        <v>400</v>
      </c>
      <c r="E6" s="4" t="s">
        <v>64</v>
      </c>
      <c r="F6" s="8">
        <v>42887</v>
      </c>
      <c r="G6" s="4" t="s">
        <v>78</v>
      </c>
      <c r="H6" s="4" t="s">
        <v>65</v>
      </c>
      <c r="I6" s="8">
        <v>46178</v>
      </c>
      <c r="J6" s="8">
        <v>46533</v>
      </c>
      <c r="K6" s="4">
        <v>8154768</v>
      </c>
      <c r="L6" s="8">
        <v>46173</v>
      </c>
      <c r="M6" s="8">
        <v>46537</v>
      </c>
      <c r="N6" s="4" t="str">
        <f t="shared" si="1"/>
        <v>ĐỦ</v>
      </c>
      <c r="O6" s="4" t="str">
        <f t="shared" ca="1" si="2"/>
        <v>CÒN HẠN</v>
      </c>
      <c r="P6" s="4" t="str">
        <f t="shared" ca="1" si="3"/>
        <v>CÒN HẠN</v>
      </c>
      <c r="Q6" s="4" t="str">
        <f t="shared" ca="1" si="4"/>
        <v>CÒN HẠN</v>
      </c>
      <c r="R6" s="4" t="s">
        <v>66</v>
      </c>
      <c r="S6" s="4" t="str">
        <f t="shared" si="5"/>
        <v>T1</v>
      </c>
      <c r="T6" s="4" t="s">
        <v>67</v>
      </c>
      <c r="U6" s="4" t="str">
        <f t="shared" si="6"/>
        <v>M2</v>
      </c>
      <c r="V6" s="4" t="s">
        <v>68</v>
      </c>
      <c r="W6" s="4" t="s">
        <v>38</v>
      </c>
      <c r="X6" s="4" t="str">
        <f t="shared" si="7"/>
        <v>PHÙ HỢP</v>
      </c>
      <c r="Y6" s="4" t="s">
        <v>54</v>
      </c>
      <c r="Z6" s="4"/>
    </row>
    <row r="7" spans="1:26" x14ac:dyDescent="0.3">
      <c r="A7" s="4">
        <f t="shared" si="0"/>
        <v>6</v>
      </c>
      <c r="B7" s="4" t="s">
        <v>69</v>
      </c>
      <c r="C7" s="7">
        <v>1995</v>
      </c>
      <c r="D7" s="4">
        <v>385</v>
      </c>
      <c r="E7" s="4" t="s">
        <v>70</v>
      </c>
      <c r="F7" s="8">
        <v>43139</v>
      </c>
      <c r="G7" s="4" t="s">
        <v>78</v>
      </c>
      <c r="H7" s="4" t="s">
        <v>71</v>
      </c>
      <c r="I7" s="8">
        <v>46066</v>
      </c>
      <c r="J7" s="8">
        <v>46430</v>
      </c>
      <c r="K7" s="4">
        <v>7977931</v>
      </c>
      <c r="L7" s="8">
        <v>46059</v>
      </c>
      <c r="M7" s="8">
        <v>46438</v>
      </c>
      <c r="N7" s="4" t="str">
        <f t="shared" si="1"/>
        <v>ĐỦ</v>
      </c>
      <c r="O7" s="4" t="str">
        <f t="shared" ca="1" si="2"/>
        <v>CÒN HẠN</v>
      </c>
      <c r="P7" s="4" t="str">
        <f t="shared" ca="1" si="3"/>
        <v>CÒN HẠN</v>
      </c>
      <c r="Q7" s="4" t="str">
        <f t="shared" ca="1" si="4"/>
        <v>CÒN HẠN</v>
      </c>
      <c r="R7" s="4" t="s">
        <v>72</v>
      </c>
      <c r="S7" s="4" t="str">
        <f t="shared" si="5"/>
        <v>T1</v>
      </c>
      <c r="T7" s="4" t="s">
        <v>73</v>
      </c>
      <c r="U7" s="4" t="str">
        <f t="shared" si="6"/>
        <v>M2</v>
      </c>
      <c r="V7" s="4" t="s">
        <v>74</v>
      </c>
      <c r="W7" s="4" t="s">
        <v>38</v>
      </c>
      <c r="X7" s="4" t="str">
        <f t="shared" si="7"/>
        <v>PHÙ HỢP</v>
      </c>
      <c r="Y7" s="4" t="s">
        <v>54</v>
      </c>
      <c r="Z7" s="4"/>
    </row>
    <row r="8" spans="1:26" x14ac:dyDescent="0.3">
      <c r="A8" s="4">
        <f t="shared" si="0"/>
        <v>7</v>
      </c>
      <c r="B8" s="4" t="s">
        <v>75</v>
      </c>
      <c r="C8" s="7">
        <v>1200</v>
      </c>
      <c r="D8" s="4">
        <v>355</v>
      </c>
      <c r="E8" s="4" t="s">
        <v>76</v>
      </c>
      <c r="F8" s="8">
        <v>43732</v>
      </c>
      <c r="G8" s="4" t="s">
        <v>78</v>
      </c>
      <c r="H8" s="4" t="s">
        <v>77</v>
      </c>
      <c r="I8" s="8">
        <v>45967</v>
      </c>
      <c r="J8" s="8">
        <v>46331</v>
      </c>
      <c r="K8" s="4">
        <v>7975404</v>
      </c>
      <c r="L8" s="8">
        <v>46058</v>
      </c>
      <c r="M8" s="8">
        <v>46438</v>
      </c>
      <c r="N8" s="4" t="str">
        <f t="shared" si="1"/>
        <v>ĐỦ</v>
      </c>
      <c r="O8" s="4" t="str">
        <f t="shared" ca="1" si="2"/>
        <v>CÒN HẠN</v>
      </c>
      <c r="P8" s="4" t="str">
        <f t="shared" ca="1" si="3"/>
        <v>CÒN HẠN</v>
      </c>
      <c r="Q8" s="4" t="str">
        <f t="shared" ca="1" si="4"/>
        <v>CÒN HẠN</v>
      </c>
      <c r="R8" s="4" t="s">
        <v>79</v>
      </c>
      <c r="S8" s="4" t="str">
        <f t="shared" si="5"/>
        <v>T1</v>
      </c>
      <c r="T8" s="4" t="s">
        <v>80</v>
      </c>
      <c r="U8" s="4" t="str">
        <f t="shared" si="6"/>
        <v>M2</v>
      </c>
      <c r="V8" s="4" t="s">
        <v>81</v>
      </c>
      <c r="W8" s="4" t="s">
        <v>38</v>
      </c>
      <c r="X8" s="4" t="str">
        <f t="shared" si="7"/>
        <v>PHÙ HỢP</v>
      </c>
      <c r="Y8" s="4" t="s">
        <v>38</v>
      </c>
      <c r="Z8" s="4"/>
    </row>
    <row r="9" spans="1:26" x14ac:dyDescent="0.3">
      <c r="A9" s="4">
        <f t="shared" si="0"/>
        <v>8</v>
      </c>
      <c r="B9" s="4"/>
      <c r="C9" s="7"/>
      <c r="D9" s="4"/>
      <c r="E9" s="4"/>
      <c r="F9" s="8"/>
      <c r="G9" s="4"/>
      <c r="H9" s="4"/>
      <c r="I9" s="8"/>
      <c r="J9" s="8"/>
      <c r="K9" s="4"/>
      <c r="L9" s="8"/>
      <c r="M9" s="8"/>
      <c r="N9" s="4" t="str">
        <f t="shared" si="1"/>
        <v>THIẾU</v>
      </c>
      <c r="O9" s="4" t="str">
        <f t="shared" ca="1" si="2"/>
        <v/>
      </c>
      <c r="P9" s="4" t="str">
        <f t="shared" ca="1" si="3"/>
        <v/>
      </c>
      <c r="Q9" s="4" t="str">
        <f t="shared" ca="1" si="4"/>
        <v/>
      </c>
      <c r="R9" s="4"/>
      <c r="S9" s="4" t="str">
        <f t="shared" si="5"/>
        <v>T3</v>
      </c>
      <c r="T9" s="4"/>
      <c r="U9" s="4" t="str">
        <f t="shared" si="6"/>
        <v>M3</v>
      </c>
      <c r="V9" s="4" t="str">
        <f t="shared" ref="V9:V65" si="8">IF(C9&gt;=500,"Có","Không")</f>
        <v>Không</v>
      </c>
      <c r="W9" s="4" t="s">
        <v>38</v>
      </c>
      <c r="X9" s="4" t="str">
        <f t="shared" si="7"/>
        <v>KHÔNG PHÙ HỢP</v>
      </c>
      <c r="Y9" s="4" t="s">
        <v>38</v>
      </c>
      <c r="Z9" s="4"/>
    </row>
    <row r="10" spans="1:26" x14ac:dyDescent="0.3">
      <c r="A10" s="4">
        <f t="shared" si="0"/>
        <v>9</v>
      </c>
      <c r="B10" s="4"/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tr">
        <f t="shared" si="1"/>
        <v>THIẾU</v>
      </c>
      <c r="O10" s="4" t="str">
        <f t="shared" ca="1" si="2"/>
        <v/>
      </c>
      <c r="P10" s="4" t="str">
        <f t="shared" ca="1" si="3"/>
        <v/>
      </c>
      <c r="Q10" s="4" t="str">
        <f t="shared" ca="1" si="4"/>
        <v/>
      </c>
      <c r="R10" s="4"/>
      <c r="S10" s="4" t="str">
        <f t="shared" si="5"/>
        <v>T3</v>
      </c>
      <c r="T10" s="4"/>
      <c r="U10" s="4" t="str">
        <f t="shared" si="6"/>
        <v>M3</v>
      </c>
      <c r="V10" s="4" t="str">
        <f t="shared" si="8"/>
        <v>Không</v>
      </c>
      <c r="W10" s="4"/>
      <c r="X10" s="4" t="str">
        <f t="shared" si="7"/>
        <v>KHÔNG PHÙ HỢP</v>
      </c>
      <c r="Y10" s="4"/>
      <c r="Z10" s="4"/>
    </row>
    <row r="11" spans="1:26" x14ac:dyDescent="0.3">
      <c r="A11" s="4">
        <f t="shared" si="0"/>
        <v>10</v>
      </c>
      <c r="B11" s="4"/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tr">
        <f t="shared" si="1"/>
        <v>THIẾU</v>
      </c>
      <c r="O11" s="4" t="str">
        <f t="shared" ca="1" si="2"/>
        <v/>
      </c>
      <c r="P11" s="4" t="str">
        <f t="shared" ca="1" si="3"/>
        <v/>
      </c>
      <c r="Q11" s="4" t="str">
        <f t="shared" ca="1" si="4"/>
        <v/>
      </c>
      <c r="R11" s="4"/>
      <c r="S11" s="4" t="str">
        <f t="shared" si="5"/>
        <v>T3</v>
      </c>
      <c r="T11" s="4"/>
      <c r="U11" s="4" t="str">
        <f t="shared" si="6"/>
        <v>M3</v>
      </c>
      <c r="V11" s="4" t="str">
        <f t="shared" si="8"/>
        <v>Không</v>
      </c>
      <c r="W11" s="4"/>
      <c r="X11" s="4" t="str">
        <f t="shared" si="7"/>
        <v>KHÔNG PHÙ HỢP</v>
      </c>
      <c r="Y11" s="4"/>
      <c r="Z11" s="4"/>
    </row>
    <row r="12" spans="1:26" x14ac:dyDescent="0.3">
      <c r="A12" s="4">
        <f t="shared" si="0"/>
        <v>11</v>
      </c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tr">
        <f t="shared" si="1"/>
        <v>THIẾU</v>
      </c>
      <c r="O12" s="4" t="str">
        <f t="shared" ca="1" si="2"/>
        <v/>
      </c>
      <c r="P12" s="4" t="str">
        <f t="shared" ca="1" si="3"/>
        <v/>
      </c>
      <c r="Q12" s="4" t="str">
        <f t="shared" ca="1" si="4"/>
        <v/>
      </c>
      <c r="R12" s="4"/>
      <c r="S12" s="4" t="str">
        <f t="shared" si="5"/>
        <v>T3</v>
      </c>
      <c r="T12" s="4"/>
      <c r="U12" s="4" t="str">
        <f t="shared" si="6"/>
        <v>M3</v>
      </c>
      <c r="V12" s="4" t="str">
        <f t="shared" si="8"/>
        <v>Không</v>
      </c>
      <c r="W12" s="4"/>
      <c r="X12" s="4" t="str">
        <f t="shared" si="7"/>
        <v>KHÔNG PHÙ HỢP</v>
      </c>
      <c r="Y12" s="4"/>
      <c r="Z12" s="4"/>
    </row>
    <row r="13" spans="1:26" x14ac:dyDescent="0.3">
      <c r="A13" s="4">
        <f t="shared" si="0"/>
        <v>12</v>
      </c>
      <c r="B13" s="4"/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tr">
        <f t="shared" si="1"/>
        <v>THIẾU</v>
      </c>
      <c r="O13" s="4" t="str">
        <f t="shared" ca="1" si="2"/>
        <v/>
      </c>
      <c r="P13" s="4" t="str">
        <f t="shared" ca="1" si="3"/>
        <v/>
      </c>
      <c r="Q13" s="4" t="str">
        <f t="shared" ca="1" si="4"/>
        <v/>
      </c>
      <c r="R13" s="4"/>
      <c r="S13" s="4" t="str">
        <f t="shared" si="5"/>
        <v>T3</v>
      </c>
      <c r="T13" s="4"/>
      <c r="U13" s="4" t="str">
        <f t="shared" si="6"/>
        <v>M3</v>
      </c>
      <c r="V13" s="4" t="str">
        <f t="shared" si="8"/>
        <v>Không</v>
      </c>
      <c r="W13" s="4"/>
      <c r="X13" s="4" t="str">
        <f t="shared" si="7"/>
        <v>KHÔNG PHÙ HỢP</v>
      </c>
      <c r="Y13" s="4"/>
      <c r="Z13" s="4"/>
    </row>
    <row r="14" spans="1:26" x14ac:dyDescent="0.3">
      <c r="A14" s="4">
        <f t="shared" si="0"/>
        <v>13</v>
      </c>
      <c r="B14" s="4"/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tr">
        <f t="shared" si="1"/>
        <v>THIẾU</v>
      </c>
      <c r="O14" s="4" t="str">
        <f t="shared" ca="1" si="2"/>
        <v/>
      </c>
      <c r="P14" s="4" t="str">
        <f t="shared" ca="1" si="3"/>
        <v/>
      </c>
      <c r="Q14" s="4" t="str">
        <f t="shared" ca="1" si="4"/>
        <v/>
      </c>
      <c r="R14" s="4"/>
      <c r="S14" s="4" t="str">
        <f t="shared" si="5"/>
        <v>T3</v>
      </c>
      <c r="T14" s="4"/>
      <c r="U14" s="4" t="str">
        <f t="shared" si="6"/>
        <v>M3</v>
      </c>
      <c r="V14" s="4" t="str">
        <f t="shared" si="8"/>
        <v>Không</v>
      </c>
      <c r="W14" s="4"/>
      <c r="X14" s="4" t="str">
        <f t="shared" si="7"/>
        <v>KHÔNG PHÙ HỢP</v>
      </c>
      <c r="Y14" s="4"/>
      <c r="Z14" s="4"/>
    </row>
    <row r="15" spans="1:26" x14ac:dyDescent="0.3">
      <c r="A15" s="4">
        <f t="shared" si="0"/>
        <v>14</v>
      </c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tr">
        <f t="shared" si="1"/>
        <v>THIẾU</v>
      </c>
      <c r="O15" s="4" t="str">
        <f t="shared" ca="1" si="2"/>
        <v/>
      </c>
      <c r="P15" s="4" t="str">
        <f t="shared" ca="1" si="3"/>
        <v/>
      </c>
      <c r="Q15" s="4" t="str">
        <f t="shared" ca="1" si="4"/>
        <v/>
      </c>
      <c r="R15" s="4"/>
      <c r="S15" s="4" t="str">
        <f t="shared" si="5"/>
        <v>T3</v>
      </c>
      <c r="T15" s="4"/>
      <c r="U15" s="4" t="str">
        <f t="shared" si="6"/>
        <v>M3</v>
      </c>
      <c r="V15" s="4" t="str">
        <f t="shared" si="8"/>
        <v>Không</v>
      </c>
      <c r="W15" s="4"/>
      <c r="X15" s="4" t="str">
        <f t="shared" si="7"/>
        <v>KHÔNG PHÙ HỢP</v>
      </c>
      <c r="Y15" s="4"/>
      <c r="Z15" s="4"/>
    </row>
    <row r="16" spans="1:26" x14ac:dyDescent="0.3">
      <c r="A16" s="4">
        <f t="shared" si="0"/>
        <v>15</v>
      </c>
      <c r="B16" s="4"/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tr">
        <f t="shared" si="1"/>
        <v>THIẾU</v>
      </c>
      <c r="O16" s="4" t="str">
        <f t="shared" ca="1" si="2"/>
        <v/>
      </c>
      <c r="P16" s="4" t="str">
        <f t="shared" ca="1" si="3"/>
        <v/>
      </c>
      <c r="Q16" s="4" t="str">
        <f t="shared" ca="1" si="4"/>
        <v/>
      </c>
      <c r="R16" s="4"/>
      <c r="S16" s="4" t="str">
        <f t="shared" si="5"/>
        <v>T3</v>
      </c>
      <c r="T16" s="4"/>
      <c r="U16" s="4" t="str">
        <f t="shared" si="6"/>
        <v>M3</v>
      </c>
      <c r="V16" s="4" t="str">
        <f t="shared" si="8"/>
        <v>Không</v>
      </c>
      <c r="W16" s="4"/>
      <c r="X16" s="4" t="str">
        <f t="shared" si="7"/>
        <v>KHÔNG PHÙ HỢP</v>
      </c>
      <c r="Y16" s="4"/>
      <c r="Z16" s="4"/>
    </row>
    <row r="17" spans="1:26" x14ac:dyDescent="0.3">
      <c r="A17" s="4">
        <f t="shared" si="0"/>
        <v>16</v>
      </c>
      <c r="B17" s="4"/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tr">
        <f t="shared" si="1"/>
        <v>THIẾU</v>
      </c>
      <c r="O17" s="4" t="str">
        <f t="shared" ca="1" si="2"/>
        <v/>
      </c>
      <c r="P17" s="4" t="str">
        <f t="shared" ca="1" si="3"/>
        <v/>
      </c>
      <c r="Q17" s="4" t="str">
        <f t="shared" ca="1" si="4"/>
        <v/>
      </c>
      <c r="R17" s="4"/>
      <c r="S17" s="4" t="str">
        <f t="shared" si="5"/>
        <v>T3</v>
      </c>
      <c r="T17" s="4"/>
      <c r="U17" s="4" t="str">
        <f t="shared" si="6"/>
        <v>M3</v>
      </c>
      <c r="V17" s="4" t="str">
        <f t="shared" si="8"/>
        <v>Không</v>
      </c>
      <c r="W17" s="4"/>
      <c r="X17" s="4" t="str">
        <f t="shared" si="7"/>
        <v>KHÔNG PHÙ HỢP</v>
      </c>
      <c r="Y17" s="4"/>
      <c r="Z17" s="4"/>
    </row>
    <row r="18" spans="1:26" x14ac:dyDescent="0.3">
      <c r="A18" s="4">
        <f t="shared" si="0"/>
        <v>17</v>
      </c>
      <c r="B18" s="4"/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tr">
        <f t="shared" si="1"/>
        <v>THIẾU</v>
      </c>
      <c r="O18" s="4" t="str">
        <f t="shared" ca="1" si="2"/>
        <v/>
      </c>
      <c r="P18" s="4" t="str">
        <f t="shared" ca="1" si="3"/>
        <v/>
      </c>
      <c r="Q18" s="4" t="str">
        <f t="shared" ca="1" si="4"/>
        <v/>
      </c>
      <c r="R18" s="4"/>
      <c r="S18" s="4" t="str">
        <f t="shared" si="5"/>
        <v>T3</v>
      </c>
      <c r="T18" s="4"/>
      <c r="U18" s="4" t="str">
        <f t="shared" si="6"/>
        <v>M3</v>
      </c>
      <c r="V18" s="4" t="str">
        <f t="shared" si="8"/>
        <v>Không</v>
      </c>
      <c r="W18" s="4"/>
      <c r="X18" s="4" t="str">
        <f t="shared" si="7"/>
        <v>KHÔNG PHÙ HỢP</v>
      </c>
      <c r="Y18" s="4"/>
      <c r="Z18" s="4"/>
    </row>
    <row r="19" spans="1:26" x14ac:dyDescent="0.3">
      <c r="A19" s="4">
        <f t="shared" si="0"/>
        <v>18</v>
      </c>
      <c r="B19" s="4"/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tr">
        <f t="shared" si="1"/>
        <v>THIẾU</v>
      </c>
      <c r="O19" s="4" t="str">
        <f t="shared" ca="1" si="2"/>
        <v/>
      </c>
      <c r="P19" s="4" t="str">
        <f t="shared" ca="1" si="3"/>
        <v/>
      </c>
      <c r="Q19" s="4" t="str">
        <f t="shared" ca="1" si="4"/>
        <v/>
      </c>
      <c r="R19" s="4"/>
      <c r="S19" s="4" t="str">
        <f t="shared" si="5"/>
        <v>T3</v>
      </c>
      <c r="T19" s="4"/>
      <c r="U19" s="4" t="str">
        <f t="shared" si="6"/>
        <v>M3</v>
      </c>
      <c r="V19" s="4" t="str">
        <f t="shared" si="8"/>
        <v>Không</v>
      </c>
      <c r="W19" s="4"/>
      <c r="X19" s="4" t="str">
        <f t="shared" si="7"/>
        <v>KHÔNG PHÙ HỢP</v>
      </c>
      <c r="Y19" s="4"/>
      <c r="Z19" s="4"/>
    </row>
    <row r="20" spans="1:26" x14ac:dyDescent="0.3">
      <c r="A20" s="4">
        <f t="shared" si="0"/>
        <v>19</v>
      </c>
      <c r="B20" s="4"/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tr">
        <f t="shared" si="1"/>
        <v>THIẾU</v>
      </c>
      <c r="O20" s="4" t="str">
        <f t="shared" ca="1" si="2"/>
        <v/>
      </c>
      <c r="P20" s="4" t="str">
        <f t="shared" ca="1" si="3"/>
        <v/>
      </c>
      <c r="Q20" s="4" t="str">
        <f t="shared" ca="1" si="4"/>
        <v/>
      </c>
      <c r="R20" s="4"/>
      <c r="S20" s="4" t="str">
        <f t="shared" si="5"/>
        <v>T3</v>
      </c>
      <c r="T20" s="4"/>
      <c r="U20" s="4" t="str">
        <f t="shared" si="6"/>
        <v>M3</v>
      </c>
      <c r="V20" s="4" t="str">
        <f t="shared" si="8"/>
        <v>Không</v>
      </c>
      <c r="W20" s="4"/>
      <c r="X20" s="4" t="str">
        <f t="shared" si="7"/>
        <v>KHÔNG PHÙ HỢP</v>
      </c>
      <c r="Y20" s="4"/>
      <c r="Z20" s="4"/>
    </row>
    <row r="21" spans="1:26" x14ac:dyDescent="0.3">
      <c r="A21" s="4">
        <f t="shared" si="0"/>
        <v>20</v>
      </c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tr">
        <f t="shared" si="1"/>
        <v>THIẾU</v>
      </c>
      <c r="O21" s="4" t="str">
        <f t="shared" ca="1" si="2"/>
        <v/>
      </c>
      <c r="P21" s="4" t="str">
        <f t="shared" ca="1" si="3"/>
        <v/>
      </c>
      <c r="Q21" s="4" t="str">
        <f t="shared" ca="1" si="4"/>
        <v/>
      </c>
      <c r="R21" s="4"/>
      <c r="S21" s="4" t="str">
        <f t="shared" si="5"/>
        <v>T3</v>
      </c>
      <c r="T21" s="4"/>
      <c r="U21" s="4" t="str">
        <f t="shared" si="6"/>
        <v>M3</v>
      </c>
      <c r="V21" s="4" t="str">
        <f t="shared" si="8"/>
        <v>Không</v>
      </c>
      <c r="W21" s="4"/>
      <c r="X21" s="4" t="str">
        <f t="shared" si="7"/>
        <v>KHÔNG PHÙ HỢP</v>
      </c>
      <c r="Y21" s="4"/>
      <c r="Z21" s="4"/>
    </row>
    <row r="22" spans="1:26" x14ac:dyDescent="0.3">
      <c r="A22" s="4">
        <f t="shared" si="0"/>
        <v>21</v>
      </c>
      <c r="B22" s="4"/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tr">
        <f t="shared" si="1"/>
        <v>THIẾU</v>
      </c>
      <c r="O22" s="4" t="str">
        <f t="shared" ca="1" si="2"/>
        <v/>
      </c>
      <c r="P22" s="4" t="str">
        <f t="shared" ca="1" si="3"/>
        <v/>
      </c>
      <c r="Q22" s="4" t="str">
        <f t="shared" ca="1" si="4"/>
        <v/>
      </c>
      <c r="R22" s="4"/>
      <c r="S22" s="4" t="str">
        <f t="shared" si="5"/>
        <v>T3</v>
      </c>
      <c r="T22" s="4"/>
      <c r="U22" s="4" t="str">
        <f t="shared" si="6"/>
        <v>M3</v>
      </c>
      <c r="V22" s="4" t="str">
        <f t="shared" si="8"/>
        <v>Không</v>
      </c>
      <c r="W22" s="4"/>
      <c r="X22" s="4" t="str">
        <f t="shared" si="7"/>
        <v>KHÔNG PHÙ HỢP</v>
      </c>
      <c r="Y22" s="4"/>
      <c r="Z22" s="4"/>
    </row>
    <row r="23" spans="1:26" x14ac:dyDescent="0.3">
      <c r="A23" s="4">
        <f t="shared" si="0"/>
        <v>22</v>
      </c>
      <c r="B23" s="4"/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tr">
        <f t="shared" si="1"/>
        <v>THIẾU</v>
      </c>
      <c r="O23" s="4" t="str">
        <f t="shared" ca="1" si="2"/>
        <v/>
      </c>
      <c r="P23" s="4" t="str">
        <f t="shared" ca="1" si="3"/>
        <v/>
      </c>
      <c r="Q23" s="4" t="str">
        <f t="shared" ca="1" si="4"/>
        <v/>
      </c>
      <c r="R23" s="4"/>
      <c r="S23" s="4" t="str">
        <f t="shared" si="5"/>
        <v>T3</v>
      </c>
      <c r="T23" s="4"/>
      <c r="U23" s="4" t="str">
        <f t="shared" si="6"/>
        <v>M3</v>
      </c>
      <c r="V23" s="4" t="str">
        <f t="shared" si="8"/>
        <v>Không</v>
      </c>
      <c r="W23" s="4"/>
      <c r="X23" s="4" t="str">
        <f t="shared" si="7"/>
        <v>KHÔNG PHÙ HỢP</v>
      </c>
      <c r="Y23" s="4"/>
      <c r="Z23" s="4"/>
    </row>
    <row r="24" spans="1:26" x14ac:dyDescent="0.3">
      <c r="A24" s="4">
        <f t="shared" si="0"/>
        <v>23</v>
      </c>
      <c r="B24" s="4"/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tr">
        <f t="shared" si="1"/>
        <v>THIẾU</v>
      </c>
      <c r="O24" s="4" t="str">
        <f t="shared" ca="1" si="2"/>
        <v/>
      </c>
      <c r="P24" s="4" t="str">
        <f t="shared" ca="1" si="3"/>
        <v/>
      </c>
      <c r="Q24" s="4" t="str">
        <f t="shared" ca="1" si="4"/>
        <v/>
      </c>
      <c r="R24" s="4"/>
      <c r="S24" s="4" t="str">
        <f t="shared" si="5"/>
        <v>T3</v>
      </c>
      <c r="T24" s="4"/>
      <c r="U24" s="4" t="str">
        <f t="shared" si="6"/>
        <v>M3</v>
      </c>
      <c r="V24" s="4" t="str">
        <f t="shared" si="8"/>
        <v>Không</v>
      </c>
      <c r="W24" s="4"/>
      <c r="X24" s="4" t="str">
        <f t="shared" si="7"/>
        <v>KHÔNG PHÙ HỢP</v>
      </c>
      <c r="Y24" s="4"/>
      <c r="Z24" s="4"/>
    </row>
    <row r="25" spans="1:26" x14ac:dyDescent="0.3">
      <c r="A25" s="4">
        <f t="shared" si="0"/>
        <v>24</v>
      </c>
      <c r="B25" s="4"/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tr">
        <f t="shared" si="1"/>
        <v>THIẾU</v>
      </c>
      <c r="O25" s="4" t="str">
        <f t="shared" ca="1" si="2"/>
        <v/>
      </c>
      <c r="P25" s="4" t="str">
        <f t="shared" ca="1" si="3"/>
        <v/>
      </c>
      <c r="Q25" s="4" t="str">
        <f t="shared" ca="1" si="4"/>
        <v/>
      </c>
      <c r="R25" s="4"/>
      <c r="S25" s="4" t="str">
        <f t="shared" si="5"/>
        <v>T3</v>
      </c>
      <c r="T25" s="4"/>
      <c r="U25" s="4" t="str">
        <f t="shared" si="6"/>
        <v>M3</v>
      </c>
      <c r="V25" s="4" t="str">
        <f t="shared" si="8"/>
        <v>Không</v>
      </c>
      <c r="W25" s="4"/>
      <c r="X25" s="4" t="str">
        <f t="shared" si="7"/>
        <v>KHÔNG PHÙ HỢP</v>
      </c>
      <c r="Y25" s="4"/>
      <c r="Z25" s="4"/>
    </row>
    <row r="26" spans="1:26" x14ac:dyDescent="0.3">
      <c r="A26" s="4">
        <f t="shared" si="0"/>
        <v>25</v>
      </c>
      <c r="B26" s="4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tr">
        <f t="shared" si="1"/>
        <v>THIẾU</v>
      </c>
      <c r="O26" s="4" t="str">
        <f t="shared" ca="1" si="2"/>
        <v/>
      </c>
      <c r="P26" s="4" t="str">
        <f t="shared" ca="1" si="3"/>
        <v/>
      </c>
      <c r="Q26" s="4" t="str">
        <f t="shared" ca="1" si="4"/>
        <v/>
      </c>
      <c r="R26" s="4"/>
      <c r="S26" s="4" t="str">
        <f t="shared" si="5"/>
        <v>T3</v>
      </c>
      <c r="T26" s="4"/>
      <c r="U26" s="4" t="str">
        <f t="shared" si="6"/>
        <v>M3</v>
      </c>
      <c r="V26" s="4" t="str">
        <f t="shared" si="8"/>
        <v>Không</v>
      </c>
      <c r="W26" s="4"/>
      <c r="X26" s="4" t="str">
        <f t="shared" si="7"/>
        <v>KHÔNG PHÙ HỢP</v>
      </c>
      <c r="Y26" s="4"/>
      <c r="Z26" s="4"/>
    </row>
    <row r="27" spans="1:26" x14ac:dyDescent="0.3">
      <c r="A27" s="4">
        <f t="shared" si="0"/>
        <v>26</v>
      </c>
      <c r="B27" s="4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tr">
        <f t="shared" si="1"/>
        <v>THIẾU</v>
      </c>
      <c r="O27" s="4" t="str">
        <f t="shared" ca="1" si="2"/>
        <v/>
      </c>
      <c r="P27" s="4" t="str">
        <f t="shared" ca="1" si="3"/>
        <v/>
      </c>
      <c r="Q27" s="4" t="str">
        <f t="shared" ca="1" si="4"/>
        <v/>
      </c>
      <c r="R27" s="4"/>
      <c r="S27" s="4" t="str">
        <f t="shared" si="5"/>
        <v>T3</v>
      </c>
      <c r="T27" s="4"/>
      <c r="U27" s="4" t="str">
        <f t="shared" si="6"/>
        <v>M3</v>
      </c>
      <c r="V27" s="4" t="str">
        <f t="shared" si="8"/>
        <v>Không</v>
      </c>
      <c r="W27" s="4"/>
      <c r="X27" s="4" t="str">
        <f t="shared" si="7"/>
        <v>KHÔNG PHÙ HỢP</v>
      </c>
      <c r="Y27" s="4"/>
      <c r="Z27" s="4"/>
    </row>
    <row r="28" spans="1:26" x14ac:dyDescent="0.3">
      <c r="A28" s="4">
        <f t="shared" si="0"/>
        <v>27</v>
      </c>
      <c r="B28" s="4"/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tr">
        <f t="shared" si="1"/>
        <v>THIẾU</v>
      </c>
      <c r="O28" s="4" t="str">
        <f t="shared" ca="1" si="2"/>
        <v/>
      </c>
      <c r="P28" s="4" t="str">
        <f t="shared" ca="1" si="3"/>
        <v/>
      </c>
      <c r="Q28" s="4" t="str">
        <f t="shared" ca="1" si="4"/>
        <v/>
      </c>
      <c r="R28" s="4"/>
      <c r="S28" s="4" t="str">
        <f t="shared" si="5"/>
        <v>T3</v>
      </c>
      <c r="T28" s="4"/>
      <c r="U28" s="4" t="str">
        <f t="shared" si="6"/>
        <v>M3</v>
      </c>
      <c r="V28" s="4" t="str">
        <f t="shared" si="8"/>
        <v>Không</v>
      </c>
      <c r="W28" s="4"/>
      <c r="X28" s="4" t="str">
        <f t="shared" si="7"/>
        <v>KHÔNG PHÙ HỢP</v>
      </c>
      <c r="Y28" s="4"/>
      <c r="Z28" s="4"/>
    </row>
    <row r="29" spans="1:26" x14ac:dyDescent="0.3">
      <c r="A29" s="4">
        <f t="shared" si="0"/>
        <v>28</v>
      </c>
      <c r="B29" s="4"/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tr">
        <f t="shared" si="1"/>
        <v>THIẾU</v>
      </c>
      <c r="O29" s="4" t="str">
        <f t="shared" ca="1" si="2"/>
        <v/>
      </c>
      <c r="P29" s="4" t="str">
        <f t="shared" ca="1" si="3"/>
        <v/>
      </c>
      <c r="Q29" s="4" t="str">
        <f t="shared" ca="1" si="4"/>
        <v/>
      </c>
      <c r="R29" s="4"/>
      <c r="S29" s="4" t="str">
        <f t="shared" si="5"/>
        <v>T3</v>
      </c>
      <c r="T29" s="4"/>
      <c r="U29" s="4" t="str">
        <f t="shared" si="6"/>
        <v>M3</v>
      </c>
      <c r="V29" s="4" t="str">
        <f t="shared" si="8"/>
        <v>Không</v>
      </c>
      <c r="W29" s="4"/>
      <c r="X29" s="4" t="str">
        <f t="shared" si="7"/>
        <v>KHÔNG PHÙ HỢP</v>
      </c>
      <c r="Y29" s="4"/>
      <c r="Z29" s="4"/>
    </row>
    <row r="30" spans="1:26" x14ac:dyDescent="0.3">
      <c r="A30" s="4">
        <f t="shared" si="0"/>
        <v>29</v>
      </c>
      <c r="B30" s="4"/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tr">
        <f t="shared" si="1"/>
        <v>THIẾU</v>
      </c>
      <c r="O30" s="4" t="str">
        <f t="shared" ca="1" si="2"/>
        <v/>
      </c>
      <c r="P30" s="4" t="str">
        <f t="shared" ca="1" si="3"/>
        <v/>
      </c>
      <c r="Q30" s="4" t="str">
        <f t="shared" ca="1" si="4"/>
        <v/>
      </c>
      <c r="R30" s="4"/>
      <c r="S30" s="4" t="str">
        <f t="shared" si="5"/>
        <v>T3</v>
      </c>
      <c r="T30" s="4"/>
      <c r="U30" s="4" t="str">
        <f t="shared" si="6"/>
        <v>M3</v>
      </c>
      <c r="V30" s="4" t="str">
        <f t="shared" si="8"/>
        <v>Không</v>
      </c>
      <c r="W30" s="4"/>
      <c r="X30" s="4" t="str">
        <f t="shared" si="7"/>
        <v>KHÔNG PHÙ HỢP</v>
      </c>
      <c r="Y30" s="4"/>
      <c r="Z30" s="4"/>
    </row>
    <row r="31" spans="1:26" x14ac:dyDescent="0.3">
      <c r="A31" s="4">
        <f t="shared" si="0"/>
        <v>30</v>
      </c>
      <c r="B31" s="4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tr">
        <f t="shared" si="1"/>
        <v>THIẾU</v>
      </c>
      <c r="O31" s="4" t="str">
        <f t="shared" ca="1" si="2"/>
        <v/>
      </c>
      <c r="P31" s="4" t="str">
        <f t="shared" ca="1" si="3"/>
        <v/>
      </c>
      <c r="Q31" s="4" t="str">
        <f t="shared" ca="1" si="4"/>
        <v/>
      </c>
      <c r="R31" s="4"/>
      <c r="S31" s="4" t="str">
        <f t="shared" si="5"/>
        <v>T3</v>
      </c>
      <c r="T31" s="4"/>
      <c r="U31" s="4" t="str">
        <f t="shared" si="6"/>
        <v>M3</v>
      </c>
      <c r="V31" s="4" t="str">
        <f t="shared" si="8"/>
        <v>Không</v>
      </c>
      <c r="W31" s="4"/>
      <c r="X31" s="4" t="str">
        <f t="shared" si="7"/>
        <v>KHÔNG PHÙ HỢP</v>
      </c>
      <c r="Y31" s="4"/>
      <c r="Z31" s="4"/>
    </row>
    <row r="32" spans="1:26" x14ac:dyDescent="0.3">
      <c r="A32" s="4">
        <f t="shared" si="0"/>
        <v>31</v>
      </c>
      <c r="B32" s="4"/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tr">
        <f t="shared" si="1"/>
        <v>THIẾU</v>
      </c>
      <c r="O32" s="4" t="str">
        <f t="shared" ca="1" si="2"/>
        <v/>
      </c>
      <c r="P32" s="4" t="str">
        <f t="shared" ca="1" si="3"/>
        <v/>
      </c>
      <c r="Q32" s="4" t="str">
        <f t="shared" ca="1" si="4"/>
        <v/>
      </c>
      <c r="R32" s="4"/>
      <c r="S32" s="4" t="str">
        <f t="shared" si="5"/>
        <v>T3</v>
      </c>
      <c r="T32" s="4"/>
      <c r="U32" s="4" t="str">
        <f t="shared" si="6"/>
        <v>M3</v>
      </c>
      <c r="V32" s="4" t="str">
        <f t="shared" si="8"/>
        <v>Không</v>
      </c>
      <c r="W32" s="4"/>
      <c r="X32" s="4" t="str">
        <f t="shared" si="7"/>
        <v>KHÔNG PHÙ HỢP</v>
      </c>
      <c r="Y32" s="4"/>
      <c r="Z32" s="4"/>
    </row>
    <row r="33" spans="1:26" x14ac:dyDescent="0.3">
      <c r="A33" s="4">
        <f t="shared" si="0"/>
        <v>32</v>
      </c>
      <c r="B33" s="4"/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tr">
        <f t="shared" si="1"/>
        <v>THIẾU</v>
      </c>
      <c r="O33" s="4" t="str">
        <f t="shared" ref="O33:O64" ca="1" si="9">IF(G33="","",IF(G33&lt;TODAY(),"HẾT HẠN","CÒN HẠN"))</f>
        <v/>
      </c>
      <c r="P33" s="4" t="str">
        <f t="shared" ref="P33:P64" ca="1" si="10">IF(J33="","",IF(J33&lt;TODAY(),"HẾT HẠN","CÒN HẠN"))</f>
        <v/>
      </c>
      <c r="Q33" s="4" t="str">
        <f t="shared" ref="Q33:Q64" ca="1" si="11">IF(M33="","",IF(M33&lt;TODAY(),"HẾT HẠN","CÒN HẠN"))</f>
        <v/>
      </c>
      <c r="R33" s="4"/>
      <c r="S33" s="4" t="str">
        <f t="shared" si="5"/>
        <v>T3</v>
      </c>
      <c r="T33" s="4"/>
      <c r="U33" s="4" t="str">
        <f t="shared" si="6"/>
        <v>M3</v>
      </c>
      <c r="V33" s="4" t="str">
        <f t="shared" si="8"/>
        <v>Không</v>
      </c>
      <c r="W33" s="4"/>
      <c r="X33" s="4" t="str">
        <f t="shared" si="7"/>
        <v>KHÔNG PHÙ HỢP</v>
      </c>
      <c r="Y33" s="4"/>
      <c r="Z33" s="4"/>
    </row>
    <row r="34" spans="1:26" x14ac:dyDescent="0.3">
      <c r="A34" s="4">
        <f t="shared" si="0"/>
        <v>33</v>
      </c>
      <c r="B34" s="4"/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 t="str">
        <f t="shared" si="1"/>
        <v>THIẾU</v>
      </c>
      <c r="O34" s="4" t="str">
        <f t="shared" ca="1" si="9"/>
        <v/>
      </c>
      <c r="P34" s="4" t="str">
        <f t="shared" ca="1" si="10"/>
        <v/>
      </c>
      <c r="Q34" s="4" t="str">
        <f t="shared" ca="1" si="11"/>
        <v/>
      </c>
      <c r="R34" s="4"/>
      <c r="S34" s="4" t="str">
        <f t="shared" si="5"/>
        <v>T3</v>
      </c>
      <c r="T34" s="4"/>
      <c r="U34" s="4" t="str">
        <f t="shared" si="6"/>
        <v>M3</v>
      </c>
      <c r="V34" s="4" t="str">
        <f t="shared" si="8"/>
        <v>Không</v>
      </c>
      <c r="W34" s="4"/>
      <c r="X34" s="4" t="str">
        <f t="shared" si="7"/>
        <v>KHÔNG PHÙ HỢP</v>
      </c>
      <c r="Y34" s="4"/>
      <c r="Z34" s="4"/>
    </row>
    <row r="35" spans="1:26" x14ac:dyDescent="0.3">
      <c r="A35" s="4">
        <f t="shared" si="0"/>
        <v>34</v>
      </c>
      <c r="B35" s="4"/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tr">
        <f t="shared" si="1"/>
        <v>THIẾU</v>
      </c>
      <c r="O35" s="4" t="str">
        <f t="shared" ca="1" si="9"/>
        <v/>
      </c>
      <c r="P35" s="4" t="str">
        <f t="shared" ca="1" si="10"/>
        <v/>
      </c>
      <c r="Q35" s="4" t="str">
        <f t="shared" ca="1" si="11"/>
        <v/>
      </c>
      <c r="R35" s="4"/>
      <c r="S35" s="4" t="str">
        <f t="shared" si="5"/>
        <v>T3</v>
      </c>
      <c r="T35" s="4"/>
      <c r="U35" s="4" t="str">
        <f t="shared" si="6"/>
        <v>M3</v>
      </c>
      <c r="V35" s="4" t="str">
        <f t="shared" si="8"/>
        <v>Không</v>
      </c>
      <c r="W35" s="4"/>
      <c r="X35" s="4" t="str">
        <f t="shared" si="7"/>
        <v>KHÔNG PHÙ HỢP</v>
      </c>
      <c r="Y35" s="4"/>
      <c r="Z35" s="4"/>
    </row>
    <row r="36" spans="1:26" x14ac:dyDescent="0.3">
      <c r="A36" s="4">
        <f t="shared" si="0"/>
        <v>35</v>
      </c>
      <c r="B36" s="4"/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tr">
        <f t="shared" si="1"/>
        <v>THIẾU</v>
      </c>
      <c r="O36" s="4" t="str">
        <f t="shared" ca="1" si="9"/>
        <v/>
      </c>
      <c r="P36" s="4" t="str">
        <f t="shared" ca="1" si="10"/>
        <v/>
      </c>
      <c r="Q36" s="4" t="str">
        <f t="shared" ca="1" si="11"/>
        <v/>
      </c>
      <c r="R36" s="4"/>
      <c r="S36" s="4" t="str">
        <f t="shared" si="5"/>
        <v>T3</v>
      </c>
      <c r="T36" s="4"/>
      <c r="U36" s="4" t="str">
        <f t="shared" si="6"/>
        <v>M3</v>
      </c>
      <c r="V36" s="4" t="str">
        <f t="shared" si="8"/>
        <v>Không</v>
      </c>
      <c r="W36" s="4"/>
      <c r="X36" s="4" t="str">
        <f t="shared" si="7"/>
        <v>KHÔNG PHÙ HỢP</v>
      </c>
      <c r="Y36" s="4"/>
      <c r="Z36" s="4"/>
    </row>
    <row r="37" spans="1:26" x14ac:dyDescent="0.3">
      <c r="A37" s="4">
        <f t="shared" si="0"/>
        <v>36</v>
      </c>
      <c r="B37" s="4"/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tr">
        <f t="shared" si="1"/>
        <v>THIẾU</v>
      </c>
      <c r="O37" s="4" t="str">
        <f t="shared" ca="1" si="9"/>
        <v/>
      </c>
      <c r="P37" s="4" t="str">
        <f t="shared" ca="1" si="10"/>
        <v/>
      </c>
      <c r="Q37" s="4" t="str">
        <f t="shared" ca="1" si="11"/>
        <v/>
      </c>
      <c r="R37" s="4"/>
      <c r="S37" s="4" t="str">
        <f t="shared" si="5"/>
        <v>T3</v>
      </c>
      <c r="T37" s="4"/>
      <c r="U37" s="4" t="str">
        <f t="shared" si="6"/>
        <v>M3</v>
      </c>
      <c r="V37" s="4" t="str">
        <f t="shared" si="8"/>
        <v>Không</v>
      </c>
      <c r="W37" s="4"/>
      <c r="X37" s="4" t="str">
        <f t="shared" si="7"/>
        <v>KHÔNG PHÙ HỢP</v>
      </c>
      <c r="Y37" s="4"/>
      <c r="Z37" s="4"/>
    </row>
    <row r="38" spans="1:26" x14ac:dyDescent="0.3">
      <c r="A38" s="4">
        <f t="shared" si="0"/>
        <v>37</v>
      </c>
      <c r="B38" s="4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tr">
        <f t="shared" si="1"/>
        <v>THIẾU</v>
      </c>
      <c r="O38" s="4" t="str">
        <f t="shared" ca="1" si="9"/>
        <v/>
      </c>
      <c r="P38" s="4" t="str">
        <f t="shared" ca="1" si="10"/>
        <v/>
      </c>
      <c r="Q38" s="4" t="str">
        <f t="shared" ca="1" si="11"/>
        <v/>
      </c>
      <c r="R38" s="4"/>
      <c r="S38" s="4" t="str">
        <f t="shared" si="5"/>
        <v>T3</v>
      </c>
      <c r="T38" s="4"/>
      <c r="U38" s="4" t="str">
        <f t="shared" si="6"/>
        <v>M3</v>
      </c>
      <c r="V38" s="4" t="str">
        <f t="shared" si="8"/>
        <v>Không</v>
      </c>
      <c r="W38" s="4"/>
      <c r="X38" s="4" t="str">
        <f t="shared" si="7"/>
        <v>KHÔNG PHÙ HỢP</v>
      </c>
      <c r="Y38" s="4"/>
      <c r="Z38" s="4"/>
    </row>
    <row r="39" spans="1:26" x14ac:dyDescent="0.3">
      <c r="A39" s="4">
        <f t="shared" si="0"/>
        <v>38</v>
      </c>
      <c r="B39" s="4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tr">
        <f t="shared" si="1"/>
        <v>THIẾU</v>
      </c>
      <c r="O39" s="4" t="str">
        <f t="shared" ca="1" si="9"/>
        <v/>
      </c>
      <c r="P39" s="4" t="str">
        <f t="shared" ca="1" si="10"/>
        <v/>
      </c>
      <c r="Q39" s="4" t="str">
        <f t="shared" ca="1" si="11"/>
        <v/>
      </c>
      <c r="R39" s="4"/>
      <c r="S39" s="4" t="str">
        <f t="shared" si="5"/>
        <v>T3</v>
      </c>
      <c r="T39" s="4"/>
      <c r="U39" s="4" t="str">
        <f t="shared" si="6"/>
        <v>M3</v>
      </c>
      <c r="V39" s="4" t="str">
        <f t="shared" si="8"/>
        <v>Không</v>
      </c>
      <c r="W39" s="4"/>
      <c r="X39" s="4" t="str">
        <f t="shared" si="7"/>
        <v>KHÔNG PHÙ HỢP</v>
      </c>
      <c r="Y39" s="4"/>
      <c r="Z39" s="4"/>
    </row>
    <row r="40" spans="1:26" x14ac:dyDescent="0.3">
      <c r="A40" s="4">
        <f t="shared" si="0"/>
        <v>39</v>
      </c>
      <c r="B40" s="4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 t="str">
        <f t="shared" si="1"/>
        <v>THIẾU</v>
      </c>
      <c r="O40" s="4" t="str">
        <f t="shared" ca="1" si="9"/>
        <v/>
      </c>
      <c r="P40" s="4" t="str">
        <f t="shared" ca="1" si="10"/>
        <v/>
      </c>
      <c r="Q40" s="4" t="str">
        <f t="shared" ca="1" si="11"/>
        <v/>
      </c>
      <c r="R40" s="4"/>
      <c r="S40" s="4" t="str">
        <f t="shared" si="5"/>
        <v>T3</v>
      </c>
      <c r="T40" s="4"/>
      <c r="U40" s="4" t="str">
        <f t="shared" si="6"/>
        <v>M3</v>
      </c>
      <c r="V40" s="4" t="str">
        <f t="shared" si="8"/>
        <v>Không</v>
      </c>
      <c r="W40" s="4"/>
      <c r="X40" s="4" t="str">
        <f t="shared" si="7"/>
        <v>KHÔNG PHÙ HỢP</v>
      </c>
      <c r="Y40" s="4"/>
      <c r="Z40" s="4"/>
    </row>
    <row r="41" spans="1:26" x14ac:dyDescent="0.3">
      <c r="A41" s="4">
        <f t="shared" si="0"/>
        <v>40</v>
      </c>
      <c r="B41" s="4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tr">
        <f t="shared" si="1"/>
        <v>THIẾU</v>
      </c>
      <c r="O41" s="4" t="str">
        <f t="shared" ca="1" si="9"/>
        <v/>
      </c>
      <c r="P41" s="4" t="str">
        <f t="shared" ca="1" si="10"/>
        <v/>
      </c>
      <c r="Q41" s="4" t="str">
        <f t="shared" ca="1" si="11"/>
        <v/>
      </c>
      <c r="R41" s="4"/>
      <c r="S41" s="4" t="str">
        <f t="shared" si="5"/>
        <v>T3</v>
      </c>
      <c r="T41" s="4"/>
      <c r="U41" s="4" t="str">
        <f t="shared" si="6"/>
        <v>M3</v>
      </c>
      <c r="V41" s="4" t="str">
        <f t="shared" si="8"/>
        <v>Không</v>
      </c>
      <c r="W41" s="4"/>
      <c r="X41" s="4" t="str">
        <f t="shared" si="7"/>
        <v>KHÔNG PHÙ HỢP</v>
      </c>
      <c r="Y41" s="4"/>
      <c r="Z41" s="4"/>
    </row>
    <row r="42" spans="1:26" x14ac:dyDescent="0.3">
      <c r="A42" s="4">
        <f t="shared" si="0"/>
        <v>41</v>
      </c>
      <c r="B42" s="4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tr">
        <f t="shared" si="1"/>
        <v>THIẾU</v>
      </c>
      <c r="O42" s="4" t="str">
        <f t="shared" ca="1" si="9"/>
        <v/>
      </c>
      <c r="P42" s="4" t="str">
        <f t="shared" ca="1" si="10"/>
        <v/>
      </c>
      <c r="Q42" s="4" t="str">
        <f t="shared" ca="1" si="11"/>
        <v/>
      </c>
      <c r="R42" s="4"/>
      <c r="S42" s="4" t="str">
        <f t="shared" si="5"/>
        <v>T3</v>
      </c>
      <c r="T42" s="4"/>
      <c r="U42" s="4" t="str">
        <f t="shared" si="6"/>
        <v>M3</v>
      </c>
      <c r="V42" s="4" t="str">
        <f t="shared" si="8"/>
        <v>Không</v>
      </c>
      <c r="W42" s="4"/>
      <c r="X42" s="4" t="str">
        <f t="shared" si="7"/>
        <v>KHÔNG PHÙ HỢP</v>
      </c>
      <c r="Y42" s="4"/>
      <c r="Z42" s="4"/>
    </row>
    <row r="43" spans="1:26" x14ac:dyDescent="0.3">
      <c r="A43" s="4">
        <f t="shared" si="0"/>
        <v>42</v>
      </c>
      <c r="B43" s="4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tr">
        <f t="shared" si="1"/>
        <v>THIẾU</v>
      </c>
      <c r="O43" s="4" t="str">
        <f t="shared" ca="1" si="9"/>
        <v/>
      </c>
      <c r="P43" s="4" t="str">
        <f t="shared" ca="1" si="10"/>
        <v/>
      </c>
      <c r="Q43" s="4" t="str">
        <f t="shared" ca="1" si="11"/>
        <v/>
      </c>
      <c r="R43" s="4"/>
      <c r="S43" s="4" t="str">
        <f t="shared" si="5"/>
        <v>T3</v>
      </c>
      <c r="T43" s="4"/>
      <c r="U43" s="4" t="str">
        <f t="shared" si="6"/>
        <v>M3</v>
      </c>
      <c r="V43" s="4" t="str">
        <f t="shared" si="8"/>
        <v>Không</v>
      </c>
      <c r="W43" s="4"/>
      <c r="X43" s="4" t="str">
        <f t="shared" si="7"/>
        <v>KHÔNG PHÙ HỢP</v>
      </c>
      <c r="Y43" s="4"/>
      <c r="Z43" s="4"/>
    </row>
    <row r="44" spans="1:26" x14ac:dyDescent="0.3">
      <c r="A44" s="4">
        <f t="shared" si="0"/>
        <v>43</v>
      </c>
      <c r="B44" s="4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 t="str">
        <f t="shared" si="1"/>
        <v>THIẾU</v>
      </c>
      <c r="O44" s="4" t="str">
        <f t="shared" ca="1" si="9"/>
        <v/>
      </c>
      <c r="P44" s="4" t="str">
        <f t="shared" ca="1" si="10"/>
        <v/>
      </c>
      <c r="Q44" s="4" t="str">
        <f t="shared" ca="1" si="11"/>
        <v/>
      </c>
      <c r="R44" s="4"/>
      <c r="S44" s="4" t="str">
        <f t="shared" si="5"/>
        <v>T3</v>
      </c>
      <c r="T44" s="4"/>
      <c r="U44" s="4" t="str">
        <f t="shared" si="6"/>
        <v>M3</v>
      </c>
      <c r="V44" s="4" t="str">
        <f t="shared" si="8"/>
        <v>Không</v>
      </c>
      <c r="W44" s="4"/>
      <c r="X44" s="4" t="str">
        <f t="shared" si="7"/>
        <v>KHÔNG PHÙ HỢP</v>
      </c>
      <c r="Y44" s="4"/>
      <c r="Z44" s="4"/>
    </row>
    <row r="45" spans="1:26" x14ac:dyDescent="0.3">
      <c r="A45" s="4">
        <f t="shared" si="0"/>
        <v>44</v>
      </c>
      <c r="B45" s="4"/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tr">
        <f t="shared" si="1"/>
        <v>THIẾU</v>
      </c>
      <c r="O45" s="4" t="str">
        <f t="shared" ca="1" si="9"/>
        <v/>
      </c>
      <c r="P45" s="4" t="str">
        <f t="shared" ca="1" si="10"/>
        <v/>
      </c>
      <c r="Q45" s="4" t="str">
        <f t="shared" ca="1" si="11"/>
        <v/>
      </c>
      <c r="R45" s="4"/>
      <c r="S45" s="4" t="str">
        <f t="shared" si="5"/>
        <v>T3</v>
      </c>
      <c r="T45" s="4"/>
      <c r="U45" s="4" t="str">
        <f t="shared" si="6"/>
        <v>M3</v>
      </c>
      <c r="V45" s="4" t="str">
        <f t="shared" si="8"/>
        <v>Không</v>
      </c>
      <c r="W45" s="4"/>
      <c r="X45" s="4" t="str">
        <f t="shared" si="7"/>
        <v>KHÔNG PHÙ HỢP</v>
      </c>
      <c r="Y45" s="4"/>
      <c r="Z45" s="4"/>
    </row>
    <row r="46" spans="1:26" x14ac:dyDescent="0.3">
      <c r="A46" s="4">
        <f t="shared" si="0"/>
        <v>45</v>
      </c>
      <c r="B46" s="4"/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 t="str">
        <f t="shared" si="1"/>
        <v>THIẾU</v>
      </c>
      <c r="O46" s="4" t="str">
        <f t="shared" ca="1" si="9"/>
        <v/>
      </c>
      <c r="P46" s="4" t="str">
        <f t="shared" ca="1" si="10"/>
        <v/>
      </c>
      <c r="Q46" s="4" t="str">
        <f t="shared" ca="1" si="11"/>
        <v/>
      </c>
      <c r="R46" s="4"/>
      <c r="S46" s="4" t="str">
        <f t="shared" si="5"/>
        <v>T3</v>
      </c>
      <c r="T46" s="4"/>
      <c r="U46" s="4" t="str">
        <f t="shared" si="6"/>
        <v>M3</v>
      </c>
      <c r="V46" s="4" t="str">
        <f t="shared" si="8"/>
        <v>Không</v>
      </c>
      <c r="W46" s="4"/>
      <c r="X46" s="4" t="str">
        <f t="shared" si="7"/>
        <v>KHÔNG PHÙ HỢP</v>
      </c>
      <c r="Y46" s="4"/>
      <c r="Z46" s="4"/>
    </row>
    <row r="47" spans="1:26" x14ac:dyDescent="0.3">
      <c r="A47" s="4">
        <f t="shared" si="0"/>
        <v>46</v>
      </c>
      <c r="B47" s="4"/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tr">
        <f t="shared" si="1"/>
        <v>THIẾU</v>
      </c>
      <c r="O47" s="4" t="str">
        <f t="shared" ca="1" si="9"/>
        <v/>
      </c>
      <c r="P47" s="4" t="str">
        <f t="shared" ca="1" si="10"/>
        <v/>
      </c>
      <c r="Q47" s="4" t="str">
        <f t="shared" ca="1" si="11"/>
        <v/>
      </c>
      <c r="R47" s="4"/>
      <c r="S47" s="4" t="str">
        <f t="shared" si="5"/>
        <v>T3</v>
      </c>
      <c r="T47" s="4"/>
      <c r="U47" s="4" t="str">
        <f t="shared" si="6"/>
        <v>M3</v>
      </c>
      <c r="V47" s="4" t="str">
        <f t="shared" si="8"/>
        <v>Không</v>
      </c>
      <c r="W47" s="4"/>
      <c r="X47" s="4" t="str">
        <f t="shared" si="7"/>
        <v>KHÔNG PHÙ HỢP</v>
      </c>
      <c r="Y47" s="4"/>
      <c r="Z47" s="4"/>
    </row>
    <row r="48" spans="1:26" x14ac:dyDescent="0.3">
      <c r="A48" s="4">
        <f t="shared" si="0"/>
        <v>47</v>
      </c>
      <c r="B48" s="4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tr">
        <f t="shared" si="1"/>
        <v>THIẾU</v>
      </c>
      <c r="O48" s="4" t="str">
        <f t="shared" ca="1" si="9"/>
        <v/>
      </c>
      <c r="P48" s="4" t="str">
        <f t="shared" ca="1" si="10"/>
        <v/>
      </c>
      <c r="Q48" s="4" t="str">
        <f t="shared" ca="1" si="11"/>
        <v/>
      </c>
      <c r="R48" s="4"/>
      <c r="S48" s="4" t="str">
        <f t="shared" si="5"/>
        <v>T3</v>
      </c>
      <c r="T48" s="4"/>
      <c r="U48" s="4" t="str">
        <f t="shared" si="6"/>
        <v>M3</v>
      </c>
      <c r="V48" s="4" t="str">
        <f t="shared" si="8"/>
        <v>Không</v>
      </c>
      <c r="W48" s="4"/>
      <c r="X48" s="4" t="str">
        <f t="shared" si="7"/>
        <v>KHÔNG PHÙ HỢP</v>
      </c>
      <c r="Y48" s="4"/>
      <c r="Z48" s="4"/>
    </row>
    <row r="49" spans="1:26" x14ac:dyDescent="0.3">
      <c r="A49" s="4">
        <f t="shared" si="0"/>
        <v>48</v>
      </c>
      <c r="B49" s="4"/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tr">
        <f t="shared" si="1"/>
        <v>THIẾU</v>
      </c>
      <c r="O49" s="4" t="str">
        <f t="shared" ca="1" si="9"/>
        <v/>
      </c>
      <c r="P49" s="4" t="str">
        <f t="shared" ca="1" si="10"/>
        <v/>
      </c>
      <c r="Q49" s="4" t="str">
        <f t="shared" ca="1" si="11"/>
        <v/>
      </c>
      <c r="R49" s="4"/>
      <c r="S49" s="4" t="str">
        <f t="shared" si="5"/>
        <v>T3</v>
      </c>
      <c r="T49" s="4"/>
      <c r="U49" s="4" t="str">
        <f t="shared" si="6"/>
        <v>M3</v>
      </c>
      <c r="V49" s="4" t="str">
        <f t="shared" si="8"/>
        <v>Không</v>
      </c>
      <c r="W49" s="4"/>
      <c r="X49" s="4" t="str">
        <f t="shared" si="7"/>
        <v>KHÔNG PHÙ HỢP</v>
      </c>
      <c r="Y49" s="4"/>
      <c r="Z49" s="4"/>
    </row>
    <row r="50" spans="1:26" x14ac:dyDescent="0.3">
      <c r="A50" s="4">
        <f t="shared" si="0"/>
        <v>49</v>
      </c>
      <c r="B50" s="4"/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 t="str">
        <f t="shared" si="1"/>
        <v>THIẾU</v>
      </c>
      <c r="O50" s="4" t="str">
        <f t="shared" ca="1" si="9"/>
        <v/>
      </c>
      <c r="P50" s="4" t="str">
        <f t="shared" ca="1" si="10"/>
        <v/>
      </c>
      <c r="Q50" s="4" t="str">
        <f t="shared" ca="1" si="11"/>
        <v/>
      </c>
      <c r="R50" s="4"/>
      <c r="S50" s="4" t="str">
        <f t="shared" si="5"/>
        <v>T3</v>
      </c>
      <c r="T50" s="4"/>
      <c r="U50" s="4" t="str">
        <f t="shared" si="6"/>
        <v>M3</v>
      </c>
      <c r="V50" s="4" t="str">
        <f t="shared" si="8"/>
        <v>Không</v>
      </c>
      <c r="W50" s="4"/>
      <c r="X50" s="4" t="str">
        <f t="shared" si="7"/>
        <v>KHÔNG PHÙ HỢP</v>
      </c>
      <c r="Y50" s="4"/>
      <c r="Z50" s="4"/>
    </row>
    <row r="51" spans="1:26" x14ac:dyDescent="0.3">
      <c r="A51" s="4">
        <f t="shared" si="0"/>
        <v>50</v>
      </c>
      <c r="B51" s="4"/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tr">
        <f t="shared" si="1"/>
        <v>THIẾU</v>
      </c>
      <c r="O51" s="4" t="str">
        <f t="shared" ca="1" si="9"/>
        <v/>
      </c>
      <c r="P51" s="4" t="str">
        <f t="shared" ca="1" si="10"/>
        <v/>
      </c>
      <c r="Q51" s="4" t="str">
        <f t="shared" ca="1" si="11"/>
        <v/>
      </c>
      <c r="R51" s="4"/>
      <c r="S51" s="4" t="str">
        <f t="shared" si="5"/>
        <v>T3</v>
      </c>
      <c r="T51" s="4"/>
      <c r="U51" s="4" t="str">
        <f t="shared" si="6"/>
        <v>M3</v>
      </c>
      <c r="V51" s="4" t="str">
        <f t="shared" si="8"/>
        <v>Không</v>
      </c>
      <c r="W51" s="4"/>
      <c r="X51" s="4" t="str">
        <f t="shared" si="7"/>
        <v>KHÔNG PHÙ HỢP</v>
      </c>
      <c r="Y51" s="4"/>
      <c r="Z51" s="4"/>
    </row>
    <row r="52" spans="1:26" x14ac:dyDescent="0.3">
      <c r="A52" s="4">
        <f t="shared" si="0"/>
        <v>51</v>
      </c>
      <c r="B52" s="4"/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 t="str">
        <f t="shared" si="1"/>
        <v>THIẾU</v>
      </c>
      <c r="O52" s="4" t="str">
        <f t="shared" ca="1" si="9"/>
        <v/>
      </c>
      <c r="P52" s="4" t="str">
        <f t="shared" ca="1" si="10"/>
        <v/>
      </c>
      <c r="Q52" s="4" t="str">
        <f t="shared" ca="1" si="11"/>
        <v/>
      </c>
      <c r="R52" s="4"/>
      <c r="S52" s="4" t="str">
        <f t="shared" si="5"/>
        <v>T3</v>
      </c>
      <c r="T52" s="4"/>
      <c r="U52" s="4" t="str">
        <f t="shared" si="6"/>
        <v>M3</v>
      </c>
      <c r="V52" s="4" t="str">
        <f t="shared" si="8"/>
        <v>Không</v>
      </c>
      <c r="W52" s="4"/>
      <c r="X52" s="4" t="str">
        <f t="shared" si="7"/>
        <v>KHÔNG PHÙ HỢP</v>
      </c>
      <c r="Y52" s="4"/>
      <c r="Z52" s="4"/>
    </row>
    <row r="53" spans="1:26" x14ac:dyDescent="0.3">
      <c r="A53" s="4">
        <f t="shared" si="0"/>
        <v>52</v>
      </c>
      <c r="B53" s="4"/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 t="str">
        <f t="shared" si="1"/>
        <v>THIẾU</v>
      </c>
      <c r="O53" s="4" t="str">
        <f t="shared" ca="1" si="9"/>
        <v/>
      </c>
      <c r="P53" s="4" t="str">
        <f t="shared" ca="1" si="10"/>
        <v/>
      </c>
      <c r="Q53" s="4" t="str">
        <f t="shared" ca="1" si="11"/>
        <v/>
      </c>
      <c r="R53" s="4"/>
      <c r="S53" s="4" t="str">
        <f t="shared" si="5"/>
        <v>T3</v>
      </c>
      <c r="T53" s="4"/>
      <c r="U53" s="4" t="str">
        <f t="shared" si="6"/>
        <v>M3</v>
      </c>
      <c r="V53" s="4" t="str">
        <f t="shared" si="8"/>
        <v>Không</v>
      </c>
      <c r="W53" s="4"/>
      <c r="X53" s="4" t="str">
        <f t="shared" si="7"/>
        <v>KHÔNG PHÙ HỢP</v>
      </c>
      <c r="Y53" s="4"/>
      <c r="Z53" s="4"/>
    </row>
    <row r="54" spans="1:26" x14ac:dyDescent="0.3">
      <c r="A54" s="4">
        <f t="shared" si="0"/>
        <v>53</v>
      </c>
      <c r="B54" s="4"/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 t="str">
        <f t="shared" si="1"/>
        <v>THIẾU</v>
      </c>
      <c r="O54" s="4" t="str">
        <f t="shared" ca="1" si="9"/>
        <v/>
      </c>
      <c r="P54" s="4" t="str">
        <f t="shared" ca="1" si="10"/>
        <v/>
      </c>
      <c r="Q54" s="4" t="str">
        <f t="shared" ca="1" si="11"/>
        <v/>
      </c>
      <c r="R54" s="4"/>
      <c r="S54" s="4" t="str">
        <f t="shared" si="5"/>
        <v>T3</v>
      </c>
      <c r="T54" s="4"/>
      <c r="U54" s="4" t="str">
        <f t="shared" si="6"/>
        <v>M3</v>
      </c>
      <c r="V54" s="4" t="str">
        <f t="shared" si="8"/>
        <v>Không</v>
      </c>
      <c r="W54" s="4"/>
      <c r="X54" s="4" t="str">
        <f t="shared" si="7"/>
        <v>KHÔNG PHÙ HỢP</v>
      </c>
      <c r="Y54" s="4"/>
      <c r="Z54" s="4"/>
    </row>
    <row r="55" spans="1:26" x14ac:dyDescent="0.3">
      <c r="A55" s="4">
        <f t="shared" si="0"/>
        <v>54</v>
      </c>
      <c r="B55" s="4"/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 t="str">
        <f t="shared" si="1"/>
        <v>THIẾU</v>
      </c>
      <c r="O55" s="4" t="str">
        <f t="shared" ca="1" si="9"/>
        <v/>
      </c>
      <c r="P55" s="4" t="str">
        <f t="shared" ca="1" si="10"/>
        <v/>
      </c>
      <c r="Q55" s="4" t="str">
        <f t="shared" ca="1" si="11"/>
        <v/>
      </c>
      <c r="R55" s="4"/>
      <c r="S55" s="4" t="str">
        <f t="shared" si="5"/>
        <v>T3</v>
      </c>
      <c r="T55" s="4"/>
      <c r="U55" s="4" t="str">
        <f t="shared" si="6"/>
        <v>M3</v>
      </c>
      <c r="V55" s="4" t="str">
        <f t="shared" si="8"/>
        <v>Không</v>
      </c>
      <c r="W55" s="4"/>
      <c r="X55" s="4" t="str">
        <f t="shared" si="7"/>
        <v>KHÔNG PHÙ HỢP</v>
      </c>
      <c r="Y55" s="4"/>
      <c r="Z55" s="4"/>
    </row>
    <row r="56" spans="1:26" x14ac:dyDescent="0.3">
      <c r="A56" s="4">
        <f t="shared" si="0"/>
        <v>55</v>
      </c>
      <c r="B56" s="4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 t="str">
        <f t="shared" ref="N56:N100" si="12">IF(AND(E56&lt;&gt;"",H56&lt;&gt;"",K56&lt;&gt;""),"ĐỦ","THIẾU")</f>
        <v>THIẾU</v>
      </c>
      <c r="O56" s="4" t="str">
        <f t="shared" ca="1" si="9"/>
        <v/>
      </c>
      <c r="P56" s="4" t="str">
        <f t="shared" ca="1" si="10"/>
        <v/>
      </c>
      <c r="Q56" s="4" t="str">
        <f t="shared" ca="1" si="11"/>
        <v/>
      </c>
      <c r="R56" s="4"/>
      <c r="S56" s="4" t="str">
        <f t="shared" si="5"/>
        <v>T3</v>
      </c>
      <c r="T56" s="4"/>
      <c r="U56" s="4" t="str">
        <f t="shared" si="6"/>
        <v>M3</v>
      </c>
      <c r="V56" s="4" t="str">
        <f t="shared" si="8"/>
        <v>Không</v>
      </c>
      <c r="W56" s="4"/>
      <c r="X56" s="4" t="str">
        <f t="shared" si="7"/>
        <v>KHÔNG PHÙ HỢP</v>
      </c>
      <c r="Y56" s="4"/>
      <c r="Z56" s="4"/>
    </row>
    <row r="57" spans="1:26" x14ac:dyDescent="0.3">
      <c r="A57" s="4">
        <f t="shared" si="0"/>
        <v>56</v>
      </c>
      <c r="B57" s="4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tr">
        <f t="shared" si="12"/>
        <v>THIẾU</v>
      </c>
      <c r="O57" s="4" t="str">
        <f t="shared" ca="1" si="9"/>
        <v/>
      </c>
      <c r="P57" s="4" t="str">
        <f t="shared" ca="1" si="10"/>
        <v/>
      </c>
      <c r="Q57" s="4" t="str">
        <f t="shared" ca="1" si="11"/>
        <v/>
      </c>
      <c r="R57" s="4"/>
      <c r="S57" s="4" t="str">
        <f t="shared" si="5"/>
        <v>T3</v>
      </c>
      <c r="T57" s="4"/>
      <c r="U57" s="4" t="str">
        <f t="shared" si="6"/>
        <v>M3</v>
      </c>
      <c r="V57" s="4" t="str">
        <f t="shared" si="8"/>
        <v>Không</v>
      </c>
      <c r="W57" s="4"/>
      <c r="X57" s="4" t="str">
        <f t="shared" si="7"/>
        <v>KHÔNG PHÙ HỢP</v>
      </c>
      <c r="Y57" s="4"/>
      <c r="Z57" s="4"/>
    </row>
    <row r="58" spans="1:26" x14ac:dyDescent="0.3">
      <c r="A58" s="4">
        <f t="shared" si="0"/>
        <v>57</v>
      </c>
      <c r="B58" s="4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 t="str">
        <f t="shared" si="12"/>
        <v>THIẾU</v>
      </c>
      <c r="O58" s="4" t="str">
        <f t="shared" ca="1" si="9"/>
        <v/>
      </c>
      <c r="P58" s="4" t="str">
        <f t="shared" ca="1" si="10"/>
        <v/>
      </c>
      <c r="Q58" s="4" t="str">
        <f t="shared" ca="1" si="11"/>
        <v/>
      </c>
      <c r="R58" s="4"/>
      <c r="S58" s="4" t="str">
        <f t="shared" si="5"/>
        <v>T3</v>
      </c>
      <c r="T58" s="4"/>
      <c r="U58" s="4" t="str">
        <f t="shared" si="6"/>
        <v>M3</v>
      </c>
      <c r="V58" s="4" t="str">
        <f t="shared" si="8"/>
        <v>Không</v>
      </c>
      <c r="W58" s="4"/>
      <c r="X58" s="4" t="str">
        <f t="shared" si="7"/>
        <v>KHÔNG PHÙ HỢP</v>
      </c>
      <c r="Y58" s="4"/>
      <c r="Z58" s="4"/>
    </row>
    <row r="59" spans="1:26" x14ac:dyDescent="0.3">
      <c r="A59" s="4">
        <f t="shared" si="0"/>
        <v>58</v>
      </c>
      <c r="B59" s="4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tr">
        <f t="shared" si="12"/>
        <v>THIẾU</v>
      </c>
      <c r="O59" s="4" t="str">
        <f t="shared" ca="1" si="9"/>
        <v/>
      </c>
      <c r="P59" s="4" t="str">
        <f t="shared" ca="1" si="10"/>
        <v/>
      </c>
      <c r="Q59" s="4" t="str">
        <f t="shared" ca="1" si="11"/>
        <v/>
      </c>
      <c r="R59" s="4"/>
      <c r="S59" s="4" t="str">
        <f t="shared" si="5"/>
        <v>T3</v>
      </c>
      <c r="T59" s="4"/>
      <c r="U59" s="4" t="str">
        <f t="shared" si="6"/>
        <v>M3</v>
      </c>
      <c r="V59" s="4" t="str">
        <f t="shared" si="8"/>
        <v>Không</v>
      </c>
      <c r="W59" s="4"/>
      <c r="X59" s="4" t="str">
        <f t="shared" si="7"/>
        <v>KHÔNG PHÙ HỢP</v>
      </c>
      <c r="Y59" s="4"/>
      <c r="Z59" s="4"/>
    </row>
    <row r="60" spans="1:26" x14ac:dyDescent="0.3">
      <c r="A60" s="4">
        <f t="shared" si="0"/>
        <v>59</v>
      </c>
      <c r="B60" s="4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 t="str">
        <f t="shared" si="12"/>
        <v>THIẾU</v>
      </c>
      <c r="O60" s="4" t="str">
        <f t="shared" ca="1" si="9"/>
        <v/>
      </c>
      <c r="P60" s="4" t="str">
        <f t="shared" ca="1" si="10"/>
        <v/>
      </c>
      <c r="Q60" s="4" t="str">
        <f t="shared" ca="1" si="11"/>
        <v/>
      </c>
      <c r="R60" s="4"/>
      <c r="S60" s="4" t="str">
        <f t="shared" si="5"/>
        <v>T3</v>
      </c>
      <c r="T60" s="4"/>
      <c r="U60" s="4" t="str">
        <f t="shared" si="6"/>
        <v>M3</v>
      </c>
      <c r="V60" s="4" t="str">
        <f t="shared" si="8"/>
        <v>Không</v>
      </c>
      <c r="W60" s="4"/>
      <c r="X60" s="4" t="str">
        <f t="shared" si="7"/>
        <v>KHÔNG PHÙ HỢP</v>
      </c>
      <c r="Y60" s="4"/>
      <c r="Z60" s="4"/>
    </row>
    <row r="61" spans="1:26" x14ac:dyDescent="0.3">
      <c r="A61" s="4">
        <f t="shared" si="0"/>
        <v>60</v>
      </c>
      <c r="B61" s="4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tr">
        <f t="shared" si="12"/>
        <v>THIẾU</v>
      </c>
      <c r="O61" s="4" t="str">
        <f t="shared" ca="1" si="9"/>
        <v/>
      </c>
      <c r="P61" s="4" t="str">
        <f t="shared" ca="1" si="10"/>
        <v/>
      </c>
      <c r="Q61" s="4" t="str">
        <f t="shared" ca="1" si="11"/>
        <v/>
      </c>
      <c r="R61" s="4"/>
      <c r="S61" s="4" t="str">
        <f t="shared" si="5"/>
        <v>T3</v>
      </c>
      <c r="T61" s="4"/>
      <c r="U61" s="4" t="str">
        <f t="shared" si="6"/>
        <v>M3</v>
      </c>
      <c r="V61" s="4" t="str">
        <f t="shared" si="8"/>
        <v>Không</v>
      </c>
      <c r="W61" s="4"/>
      <c r="X61" s="4" t="str">
        <f t="shared" si="7"/>
        <v>KHÔNG PHÙ HỢP</v>
      </c>
      <c r="Y61" s="4"/>
      <c r="Z61" s="4"/>
    </row>
    <row r="62" spans="1:26" x14ac:dyDescent="0.3">
      <c r="A62" s="4">
        <f t="shared" si="0"/>
        <v>61</v>
      </c>
      <c r="B62" s="4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 t="str">
        <f t="shared" si="12"/>
        <v>THIẾU</v>
      </c>
      <c r="O62" s="4" t="str">
        <f t="shared" ca="1" si="9"/>
        <v/>
      </c>
      <c r="P62" s="4" t="str">
        <f t="shared" ca="1" si="10"/>
        <v/>
      </c>
      <c r="Q62" s="4" t="str">
        <f t="shared" ca="1" si="11"/>
        <v/>
      </c>
      <c r="R62" s="4"/>
      <c r="S62" s="4" t="str">
        <f t="shared" si="5"/>
        <v>T3</v>
      </c>
      <c r="T62" s="4"/>
      <c r="U62" s="4" t="str">
        <f t="shared" si="6"/>
        <v>M3</v>
      </c>
      <c r="V62" s="4" t="str">
        <f t="shared" si="8"/>
        <v>Không</v>
      </c>
      <c r="W62" s="4"/>
      <c r="X62" s="4" t="str">
        <f t="shared" si="7"/>
        <v>KHÔNG PHÙ HỢP</v>
      </c>
      <c r="Y62" s="4"/>
      <c r="Z62" s="4"/>
    </row>
    <row r="63" spans="1:26" x14ac:dyDescent="0.3">
      <c r="A63" s="4">
        <f t="shared" si="0"/>
        <v>62</v>
      </c>
      <c r="B63" s="4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 t="str">
        <f t="shared" si="12"/>
        <v>THIẾU</v>
      </c>
      <c r="O63" s="4" t="str">
        <f t="shared" ca="1" si="9"/>
        <v/>
      </c>
      <c r="P63" s="4" t="str">
        <f t="shared" ca="1" si="10"/>
        <v/>
      </c>
      <c r="Q63" s="4" t="str">
        <f t="shared" ca="1" si="11"/>
        <v/>
      </c>
      <c r="R63" s="4"/>
      <c r="S63" s="4" t="str">
        <f t="shared" si="5"/>
        <v>T3</v>
      </c>
      <c r="T63" s="4"/>
      <c r="U63" s="4" t="str">
        <f t="shared" si="6"/>
        <v>M3</v>
      </c>
      <c r="V63" s="4" t="str">
        <f t="shared" si="8"/>
        <v>Không</v>
      </c>
      <c r="W63" s="4"/>
      <c r="X63" s="4" t="str">
        <f t="shared" si="7"/>
        <v>KHÔNG PHÙ HỢP</v>
      </c>
      <c r="Y63" s="4"/>
      <c r="Z63" s="4"/>
    </row>
    <row r="64" spans="1:26" x14ac:dyDescent="0.3">
      <c r="A64" s="4">
        <f t="shared" si="0"/>
        <v>63</v>
      </c>
      <c r="B64" s="4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tr">
        <f t="shared" si="12"/>
        <v>THIẾU</v>
      </c>
      <c r="O64" s="4" t="str">
        <f t="shared" ca="1" si="9"/>
        <v/>
      </c>
      <c r="P64" s="4" t="str">
        <f t="shared" ca="1" si="10"/>
        <v/>
      </c>
      <c r="Q64" s="4" t="str">
        <f t="shared" ca="1" si="11"/>
        <v/>
      </c>
      <c r="R64" s="4"/>
      <c r="S64" s="4" t="str">
        <f t="shared" si="5"/>
        <v>T3</v>
      </c>
      <c r="T64" s="4"/>
      <c r="U64" s="4" t="str">
        <f t="shared" si="6"/>
        <v>M3</v>
      </c>
      <c r="V64" s="4" t="str">
        <f t="shared" si="8"/>
        <v>Không</v>
      </c>
      <c r="W64" s="4"/>
      <c r="X64" s="4" t="str">
        <f t="shared" si="7"/>
        <v>KHÔNG PHÙ HỢP</v>
      </c>
      <c r="Y64" s="4"/>
      <c r="Z64" s="4"/>
    </row>
    <row r="65" spans="1:26" x14ac:dyDescent="0.3">
      <c r="A65" s="4">
        <f t="shared" si="0"/>
        <v>64</v>
      </c>
      <c r="B65" s="4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 t="str">
        <f t="shared" si="12"/>
        <v>THIẾU</v>
      </c>
      <c r="O65" s="4" t="str">
        <f t="shared" ref="O65:O100" ca="1" si="13">IF(G65="","",IF(G65&lt;TODAY(),"HẾT HẠN","CÒN HẠN"))</f>
        <v/>
      </c>
      <c r="P65" s="4" t="str">
        <f t="shared" ref="P65:P100" ca="1" si="14">IF(J65="","",IF(J65&lt;TODAY(),"HẾT HẠN","CÒN HẠN"))</f>
        <v/>
      </c>
      <c r="Q65" s="4" t="str">
        <f t="shared" ref="Q65:Q100" ca="1" si="15">IF(M65="","",IF(M65&lt;TODAY(),"HẾT HẠN","CÒN HẠN"))</f>
        <v/>
      </c>
      <c r="R65" s="4"/>
      <c r="S65" s="4" t="str">
        <f t="shared" si="5"/>
        <v>T3</v>
      </c>
      <c r="T65" s="4"/>
      <c r="U65" s="4" t="str">
        <f t="shared" si="6"/>
        <v>M3</v>
      </c>
      <c r="V65" s="4" t="str">
        <f t="shared" si="8"/>
        <v>Không</v>
      </c>
      <c r="W65" s="4"/>
      <c r="X65" s="4" t="str">
        <f t="shared" si="7"/>
        <v>KHÔNG PHÙ HỢP</v>
      </c>
      <c r="Y65" s="4"/>
      <c r="Z65" s="4"/>
    </row>
    <row r="66" spans="1:26" x14ac:dyDescent="0.3">
      <c r="A66" s="4">
        <f t="shared" ref="A66:A100" si="16">ROW()-1</f>
        <v>65</v>
      </c>
      <c r="B66" s="4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 t="str">
        <f t="shared" si="12"/>
        <v>THIẾU</v>
      </c>
      <c r="O66" s="4" t="str">
        <f t="shared" ca="1" si="13"/>
        <v/>
      </c>
      <c r="P66" s="4" t="str">
        <f t="shared" ca="1" si="14"/>
        <v/>
      </c>
      <c r="Q66" s="4" t="str">
        <f t="shared" ca="1" si="15"/>
        <v/>
      </c>
      <c r="R66" s="4"/>
      <c r="S66" s="4" t="str">
        <f t="shared" ref="S66:S100" si="17">IF(C66&gt;1000,"T1",IF(C66&gt;=500,"T2","T3"))</f>
        <v>T3</v>
      </c>
      <c r="T66" s="4"/>
      <c r="U66" s="4" t="str">
        <f t="shared" ref="U66:U100" si="18">IF(D66&lt;=250,"M3",IF(D66&lt;=1000,"M2","M1"))</f>
        <v>M3</v>
      </c>
      <c r="V66" s="4" t="str">
        <f t="shared" ref="V66:V100" si="19">IF(C66&gt;=500,"Có","Không")</f>
        <v>Không</v>
      </c>
      <c r="W66" s="4"/>
      <c r="X66" s="4" t="str">
        <f t="shared" ref="X66:X100" si="20">IF(AND(R66&lt;&gt;"",T66&lt;&gt;"",W66="Có"),"PHÙ HỢP","KHÔNG PHÙ HỢP")</f>
        <v>KHÔNG PHÙ HỢP</v>
      </c>
      <c r="Y66" s="4"/>
      <c r="Z66" s="4"/>
    </row>
    <row r="67" spans="1:26" x14ac:dyDescent="0.3">
      <c r="A67" s="4">
        <f t="shared" si="16"/>
        <v>66</v>
      </c>
      <c r="B67" s="4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 t="str">
        <f t="shared" si="12"/>
        <v>THIẾU</v>
      </c>
      <c r="O67" s="4" t="str">
        <f t="shared" ca="1" si="13"/>
        <v/>
      </c>
      <c r="P67" s="4" t="str">
        <f t="shared" ca="1" si="14"/>
        <v/>
      </c>
      <c r="Q67" s="4" t="str">
        <f t="shared" ca="1" si="15"/>
        <v/>
      </c>
      <c r="R67" s="4"/>
      <c r="S67" s="4" t="str">
        <f t="shared" si="17"/>
        <v>T3</v>
      </c>
      <c r="T67" s="4"/>
      <c r="U67" s="4" t="str">
        <f t="shared" si="18"/>
        <v>M3</v>
      </c>
      <c r="V67" s="4" t="str">
        <f t="shared" si="19"/>
        <v>Không</v>
      </c>
      <c r="W67" s="4"/>
      <c r="X67" s="4" t="str">
        <f t="shared" si="20"/>
        <v>KHÔNG PHÙ HỢP</v>
      </c>
      <c r="Y67" s="4"/>
      <c r="Z67" s="4"/>
    </row>
    <row r="68" spans="1:26" x14ac:dyDescent="0.3">
      <c r="A68" s="4">
        <f t="shared" si="16"/>
        <v>67</v>
      </c>
      <c r="B68" s="4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tr">
        <f t="shared" si="12"/>
        <v>THIẾU</v>
      </c>
      <c r="O68" s="4" t="str">
        <f t="shared" ca="1" si="13"/>
        <v/>
      </c>
      <c r="P68" s="4" t="str">
        <f t="shared" ca="1" si="14"/>
        <v/>
      </c>
      <c r="Q68" s="4" t="str">
        <f t="shared" ca="1" si="15"/>
        <v/>
      </c>
      <c r="R68" s="4"/>
      <c r="S68" s="4" t="str">
        <f t="shared" si="17"/>
        <v>T3</v>
      </c>
      <c r="T68" s="4"/>
      <c r="U68" s="4" t="str">
        <f t="shared" si="18"/>
        <v>M3</v>
      </c>
      <c r="V68" s="4" t="str">
        <f t="shared" si="19"/>
        <v>Không</v>
      </c>
      <c r="W68" s="4"/>
      <c r="X68" s="4" t="str">
        <f t="shared" si="20"/>
        <v>KHÔNG PHÙ HỢP</v>
      </c>
      <c r="Y68" s="4"/>
      <c r="Z68" s="4"/>
    </row>
    <row r="69" spans="1:26" x14ac:dyDescent="0.3">
      <c r="A69" s="4">
        <f t="shared" si="16"/>
        <v>68</v>
      </c>
      <c r="B69" s="4"/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 t="str">
        <f t="shared" si="12"/>
        <v>THIẾU</v>
      </c>
      <c r="O69" s="4" t="str">
        <f t="shared" ca="1" si="13"/>
        <v/>
      </c>
      <c r="P69" s="4" t="str">
        <f t="shared" ca="1" si="14"/>
        <v/>
      </c>
      <c r="Q69" s="4" t="str">
        <f t="shared" ca="1" si="15"/>
        <v/>
      </c>
      <c r="R69" s="4"/>
      <c r="S69" s="4" t="str">
        <f t="shared" si="17"/>
        <v>T3</v>
      </c>
      <c r="T69" s="4"/>
      <c r="U69" s="4" t="str">
        <f t="shared" si="18"/>
        <v>M3</v>
      </c>
      <c r="V69" s="4" t="str">
        <f t="shared" si="19"/>
        <v>Không</v>
      </c>
      <c r="W69" s="4"/>
      <c r="X69" s="4" t="str">
        <f t="shared" si="20"/>
        <v>KHÔNG PHÙ HỢP</v>
      </c>
      <c r="Y69" s="4"/>
      <c r="Z69" s="4"/>
    </row>
    <row r="70" spans="1:26" x14ac:dyDescent="0.3">
      <c r="A70" s="4">
        <f t="shared" si="16"/>
        <v>69</v>
      </c>
      <c r="B70" s="4"/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tr">
        <f t="shared" si="12"/>
        <v>THIẾU</v>
      </c>
      <c r="O70" s="4" t="str">
        <f t="shared" ca="1" si="13"/>
        <v/>
      </c>
      <c r="P70" s="4" t="str">
        <f t="shared" ca="1" si="14"/>
        <v/>
      </c>
      <c r="Q70" s="4" t="str">
        <f t="shared" ca="1" si="15"/>
        <v/>
      </c>
      <c r="R70" s="4"/>
      <c r="S70" s="4" t="str">
        <f t="shared" si="17"/>
        <v>T3</v>
      </c>
      <c r="T70" s="4"/>
      <c r="U70" s="4" t="str">
        <f t="shared" si="18"/>
        <v>M3</v>
      </c>
      <c r="V70" s="4" t="str">
        <f t="shared" si="19"/>
        <v>Không</v>
      </c>
      <c r="W70" s="4"/>
      <c r="X70" s="4" t="str">
        <f t="shared" si="20"/>
        <v>KHÔNG PHÙ HỢP</v>
      </c>
      <c r="Y70" s="4"/>
      <c r="Z70" s="4"/>
    </row>
    <row r="71" spans="1:26" x14ac:dyDescent="0.3">
      <c r="A71" s="4">
        <f t="shared" si="16"/>
        <v>70</v>
      </c>
      <c r="B71" s="4"/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 t="str">
        <f t="shared" si="12"/>
        <v>THIẾU</v>
      </c>
      <c r="O71" s="4" t="str">
        <f t="shared" ca="1" si="13"/>
        <v/>
      </c>
      <c r="P71" s="4" t="str">
        <f t="shared" ca="1" si="14"/>
        <v/>
      </c>
      <c r="Q71" s="4" t="str">
        <f t="shared" ca="1" si="15"/>
        <v/>
      </c>
      <c r="R71" s="4"/>
      <c r="S71" s="4" t="str">
        <f t="shared" si="17"/>
        <v>T3</v>
      </c>
      <c r="T71" s="4"/>
      <c r="U71" s="4" t="str">
        <f t="shared" si="18"/>
        <v>M3</v>
      </c>
      <c r="V71" s="4" t="str">
        <f t="shared" si="19"/>
        <v>Không</v>
      </c>
      <c r="W71" s="4"/>
      <c r="X71" s="4" t="str">
        <f t="shared" si="20"/>
        <v>KHÔNG PHÙ HỢP</v>
      </c>
      <c r="Y71" s="4"/>
      <c r="Z71" s="4"/>
    </row>
    <row r="72" spans="1:26" x14ac:dyDescent="0.3">
      <c r="A72" s="4">
        <f t="shared" si="16"/>
        <v>71</v>
      </c>
      <c r="B72" s="4"/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 t="str">
        <f t="shared" si="12"/>
        <v>THIẾU</v>
      </c>
      <c r="O72" s="4" t="str">
        <f t="shared" ca="1" si="13"/>
        <v/>
      </c>
      <c r="P72" s="4" t="str">
        <f t="shared" ca="1" si="14"/>
        <v/>
      </c>
      <c r="Q72" s="4" t="str">
        <f t="shared" ca="1" si="15"/>
        <v/>
      </c>
      <c r="R72" s="4"/>
      <c r="S72" s="4" t="str">
        <f t="shared" si="17"/>
        <v>T3</v>
      </c>
      <c r="T72" s="4"/>
      <c r="U72" s="4" t="str">
        <f t="shared" si="18"/>
        <v>M3</v>
      </c>
      <c r="V72" s="4" t="str">
        <f t="shared" si="19"/>
        <v>Không</v>
      </c>
      <c r="W72" s="4"/>
      <c r="X72" s="4" t="str">
        <f t="shared" si="20"/>
        <v>KHÔNG PHÙ HỢP</v>
      </c>
      <c r="Y72" s="4"/>
      <c r="Z72" s="4"/>
    </row>
    <row r="73" spans="1:26" x14ac:dyDescent="0.3">
      <c r="A73" s="4">
        <f t="shared" si="16"/>
        <v>72</v>
      </c>
      <c r="B73" s="4"/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 t="str">
        <f t="shared" si="12"/>
        <v>THIẾU</v>
      </c>
      <c r="O73" s="4" t="str">
        <f t="shared" ca="1" si="13"/>
        <v/>
      </c>
      <c r="P73" s="4" t="str">
        <f t="shared" ca="1" si="14"/>
        <v/>
      </c>
      <c r="Q73" s="4" t="str">
        <f t="shared" ca="1" si="15"/>
        <v/>
      </c>
      <c r="R73" s="4"/>
      <c r="S73" s="4" t="str">
        <f t="shared" si="17"/>
        <v>T3</v>
      </c>
      <c r="T73" s="4"/>
      <c r="U73" s="4" t="str">
        <f t="shared" si="18"/>
        <v>M3</v>
      </c>
      <c r="V73" s="4" t="str">
        <f t="shared" si="19"/>
        <v>Không</v>
      </c>
      <c r="W73" s="4"/>
      <c r="X73" s="4" t="str">
        <f t="shared" si="20"/>
        <v>KHÔNG PHÙ HỢP</v>
      </c>
      <c r="Y73" s="4"/>
      <c r="Z73" s="4"/>
    </row>
    <row r="74" spans="1:26" x14ac:dyDescent="0.3">
      <c r="A74" s="4">
        <f t="shared" si="16"/>
        <v>73</v>
      </c>
      <c r="B74" s="4"/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 t="str">
        <f t="shared" si="12"/>
        <v>THIẾU</v>
      </c>
      <c r="O74" s="4" t="str">
        <f t="shared" ca="1" si="13"/>
        <v/>
      </c>
      <c r="P74" s="4" t="str">
        <f t="shared" ca="1" si="14"/>
        <v/>
      </c>
      <c r="Q74" s="4" t="str">
        <f t="shared" ca="1" si="15"/>
        <v/>
      </c>
      <c r="R74" s="4"/>
      <c r="S74" s="4" t="str">
        <f t="shared" si="17"/>
        <v>T3</v>
      </c>
      <c r="T74" s="4"/>
      <c r="U74" s="4" t="str">
        <f t="shared" si="18"/>
        <v>M3</v>
      </c>
      <c r="V74" s="4" t="str">
        <f t="shared" si="19"/>
        <v>Không</v>
      </c>
      <c r="W74" s="4"/>
      <c r="X74" s="4" t="str">
        <f t="shared" si="20"/>
        <v>KHÔNG PHÙ HỢP</v>
      </c>
      <c r="Y74" s="4"/>
      <c r="Z74" s="4"/>
    </row>
    <row r="75" spans="1:26" x14ac:dyDescent="0.3">
      <c r="A75" s="4">
        <f t="shared" si="16"/>
        <v>74</v>
      </c>
      <c r="B75" s="4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 t="str">
        <f t="shared" si="12"/>
        <v>THIẾU</v>
      </c>
      <c r="O75" s="4" t="str">
        <f t="shared" ca="1" si="13"/>
        <v/>
      </c>
      <c r="P75" s="4" t="str">
        <f t="shared" ca="1" si="14"/>
        <v/>
      </c>
      <c r="Q75" s="4" t="str">
        <f t="shared" ca="1" si="15"/>
        <v/>
      </c>
      <c r="R75" s="4"/>
      <c r="S75" s="4" t="str">
        <f t="shared" si="17"/>
        <v>T3</v>
      </c>
      <c r="T75" s="4"/>
      <c r="U75" s="4" t="str">
        <f t="shared" si="18"/>
        <v>M3</v>
      </c>
      <c r="V75" s="4" t="str">
        <f t="shared" si="19"/>
        <v>Không</v>
      </c>
      <c r="W75" s="4"/>
      <c r="X75" s="4" t="str">
        <f t="shared" si="20"/>
        <v>KHÔNG PHÙ HỢP</v>
      </c>
      <c r="Y75" s="4"/>
      <c r="Z75" s="4"/>
    </row>
    <row r="76" spans="1:26" x14ac:dyDescent="0.3">
      <c r="A76" s="4">
        <f t="shared" si="16"/>
        <v>75</v>
      </c>
      <c r="B76" s="4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tr">
        <f t="shared" si="12"/>
        <v>THIẾU</v>
      </c>
      <c r="O76" s="4" t="str">
        <f t="shared" ca="1" si="13"/>
        <v/>
      </c>
      <c r="P76" s="4" t="str">
        <f t="shared" ca="1" si="14"/>
        <v/>
      </c>
      <c r="Q76" s="4" t="str">
        <f t="shared" ca="1" si="15"/>
        <v/>
      </c>
      <c r="R76" s="4"/>
      <c r="S76" s="4" t="str">
        <f t="shared" si="17"/>
        <v>T3</v>
      </c>
      <c r="T76" s="4"/>
      <c r="U76" s="4" t="str">
        <f t="shared" si="18"/>
        <v>M3</v>
      </c>
      <c r="V76" s="4" t="str">
        <f t="shared" si="19"/>
        <v>Không</v>
      </c>
      <c r="W76" s="4"/>
      <c r="X76" s="4" t="str">
        <f t="shared" si="20"/>
        <v>KHÔNG PHÙ HỢP</v>
      </c>
      <c r="Y76" s="4"/>
      <c r="Z76" s="4"/>
    </row>
    <row r="77" spans="1:26" x14ac:dyDescent="0.3">
      <c r="A77" s="4">
        <f t="shared" si="16"/>
        <v>76</v>
      </c>
      <c r="B77" s="4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 t="str">
        <f t="shared" si="12"/>
        <v>THIẾU</v>
      </c>
      <c r="O77" s="4" t="str">
        <f t="shared" ca="1" si="13"/>
        <v/>
      </c>
      <c r="P77" s="4" t="str">
        <f t="shared" ca="1" si="14"/>
        <v/>
      </c>
      <c r="Q77" s="4" t="str">
        <f t="shared" ca="1" si="15"/>
        <v/>
      </c>
      <c r="R77" s="4"/>
      <c r="S77" s="4" t="str">
        <f t="shared" si="17"/>
        <v>T3</v>
      </c>
      <c r="T77" s="4"/>
      <c r="U77" s="4" t="str">
        <f t="shared" si="18"/>
        <v>M3</v>
      </c>
      <c r="V77" s="4" t="str">
        <f t="shared" si="19"/>
        <v>Không</v>
      </c>
      <c r="W77" s="4"/>
      <c r="X77" s="4" t="str">
        <f t="shared" si="20"/>
        <v>KHÔNG PHÙ HỢP</v>
      </c>
      <c r="Y77" s="4"/>
      <c r="Z77" s="4"/>
    </row>
    <row r="78" spans="1:26" x14ac:dyDescent="0.3">
      <c r="A78" s="4">
        <f t="shared" si="16"/>
        <v>77</v>
      </c>
      <c r="B78" s="4"/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 t="str">
        <f t="shared" si="12"/>
        <v>THIẾU</v>
      </c>
      <c r="O78" s="4" t="str">
        <f t="shared" ca="1" si="13"/>
        <v/>
      </c>
      <c r="P78" s="4" t="str">
        <f t="shared" ca="1" si="14"/>
        <v/>
      </c>
      <c r="Q78" s="4" t="str">
        <f t="shared" ca="1" si="15"/>
        <v/>
      </c>
      <c r="R78" s="4"/>
      <c r="S78" s="4" t="str">
        <f t="shared" si="17"/>
        <v>T3</v>
      </c>
      <c r="T78" s="4"/>
      <c r="U78" s="4" t="str">
        <f t="shared" si="18"/>
        <v>M3</v>
      </c>
      <c r="V78" s="4" t="str">
        <f t="shared" si="19"/>
        <v>Không</v>
      </c>
      <c r="W78" s="4"/>
      <c r="X78" s="4" t="str">
        <f t="shared" si="20"/>
        <v>KHÔNG PHÙ HỢP</v>
      </c>
      <c r="Y78" s="4"/>
      <c r="Z78" s="4"/>
    </row>
    <row r="79" spans="1:26" x14ac:dyDescent="0.3">
      <c r="A79" s="4">
        <f t="shared" si="16"/>
        <v>78</v>
      </c>
      <c r="B79" s="4"/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 t="str">
        <f t="shared" si="12"/>
        <v>THIẾU</v>
      </c>
      <c r="O79" s="4" t="str">
        <f t="shared" ca="1" si="13"/>
        <v/>
      </c>
      <c r="P79" s="4" t="str">
        <f t="shared" ca="1" si="14"/>
        <v/>
      </c>
      <c r="Q79" s="4" t="str">
        <f t="shared" ca="1" si="15"/>
        <v/>
      </c>
      <c r="R79" s="4"/>
      <c r="S79" s="4" t="str">
        <f t="shared" si="17"/>
        <v>T3</v>
      </c>
      <c r="T79" s="4"/>
      <c r="U79" s="4" t="str">
        <f t="shared" si="18"/>
        <v>M3</v>
      </c>
      <c r="V79" s="4" t="str">
        <f t="shared" si="19"/>
        <v>Không</v>
      </c>
      <c r="W79" s="4"/>
      <c r="X79" s="4" t="str">
        <f t="shared" si="20"/>
        <v>KHÔNG PHÙ HỢP</v>
      </c>
      <c r="Y79" s="4"/>
      <c r="Z79" s="4"/>
    </row>
    <row r="80" spans="1:26" x14ac:dyDescent="0.3">
      <c r="A80" s="4">
        <f t="shared" si="16"/>
        <v>79</v>
      </c>
      <c r="B80" s="4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 t="str">
        <f t="shared" si="12"/>
        <v>THIẾU</v>
      </c>
      <c r="O80" s="4" t="str">
        <f t="shared" ca="1" si="13"/>
        <v/>
      </c>
      <c r="P80" s="4" t="str">
        <f t="shared" ca="1" si="14"/>
        <v/>
      </c>
      <c r="Q80" s="4" t="str">
        <f t="shared" ca="1" si="15"/>
        <v/>
      </c>
      <c r="R80" s="4"/>
      <c r="S80" s="4" t="str">
        <f t="shared" si="17"/>
        <v>T3</v>
      </c>
      <c r="T80" s="4"/>
      <c r="U80" s="4" t="str">
        <f t="shared" si="18"/>
        <v>M3</v>
      </c>
      <c r="V80" s="4" t="str">
        <f t="shared" si="19"/>
        <v>Không</v>
      </c>
      <c r="W80" s="4"/>
      <c r="X80" s="4" t="str">
        <f t="shared" si="20"/>
        <v>KHÔNG PHÙ HỢP</v>
      </c>
      <c r="Y80" s="4"/>
      <c r="Z80" s="4"/>
    </row>
    <row r="81" spans="1:26" x14ac:dyDescent="0.3">
      <c r="A81" s="4">
        <f t="shared" si="16"/>
        <v>80</v>
      </c>
      <c r="B81" s="4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 t="str">
        <f t="shared" si="12"/>
        <v>THIẾU</v>
      </c>
      <c r="O81" s="4" t="str">
        <f t="shared" ca="1" si="13"/>
        <v/>
      </c>
      <c r="P81" s="4" t="str">
        <f t="shared" ca="1" si="14"/>
        <v/>
      </c>
      <c r="Q81" s="4" t="str">
        <f t="shared" ca="1" si="15"/>
        <v/>
      </c>
      <c r="R81" s="4"/>
      <c r="S81" s="4" t="str">
        <f t="shared" si="17"/>
        <v>T3</v>
      </c>
      <c r="T81" s="4"/>
      <c r="U81" s="4" t="str">
        <f t="shared" si="18"/>
        <v>M3</v>
      </c>
      <c r="V81" s="4" t="str">
        <f t="shared" si="19"/>
        <v>Không</v>
      </c>
      <c r="W81" s="4"/>
      <c r="X81" s="4" t="str">
        <f t="shared" si="20"/>
        <v>KHÔNG PHÙ HỢP</v>
      </c>
      <c r="Y81" s="4"/>
      <c r="Z81" s="4"/>
    </row>
    <row r="82" spans="1:26" x14ac:dyDescent="0.3">
      <c r="A82" s="4">
        <f t="shared" si="16"/>
        <v>81</v>
      </c>
      <c r="B82" s="4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 t="str">
        <f t="shared" si="12"/>
        <v>THIẾU</v>
      </c>
      <c r="O82" s="4" t="str">
        <f t="shared" ca="1" si="13"/>
        <v/>
      </c>
      <c r="P82" s="4" t="str">
        <f t="shared" ca="1" si="14"/>
        <v/>
      </c>
      <c r="Q82" s="4" t="str">
        <f t="shared" ca="1" si="15"/>
        <v/>
      </c>
      <c r="R82" s="4"/>
      <c r="S82" s="4" t="str">
        <f t="shared" si="17"/>
        <v>T3</v>
      </c>
      <c r="T82" s="4"/>
      <c r="U82" s="4" t="str">
        <f t="shared" si="18"/>
        <v>M3</v>
      </c>
      <c r="V82" s="4" t="str">
        <f t="shared" si="19"/>
        <v>Không</v>
      </c>
      <c r="W82" s="4"/>
      <c r="X82" s="4" t="str">
        <f t="shared" si="20"/>
        <v>KHÔNG PHÙ HỢP</v>
      </c>
      <c r="Y82" s="4"/>
      <c r="Z82" s="4"/>
    </row>
    <row r="83" spans="1:26" x14ac:dyDescent="0.3">
      <c r="A83" s="4">
        <f t="shared" si="16"/>
        <v>82</v>
      </c>
      <c r="B83" s="4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 t="str">
        <f t="shared" si="12"/>
        <v>THIẾU</v>
      </c>
      <c r="O83" s="4" t="str">
        <f t="shared" ca="1" si="13"/>
        <v/>
      </c>
      <c r="P83" s="4" t="str">
        <f t="shared" ca="1" si="14"/>
        <v/>
      </c>
      <c r="Q83" s="4" t="str">
        <f t="shared" ca="1" si="15"/>
        <v/>
      </c>
      <c r="R83" s="4"/>
      <c r="S83" s="4" t="str">
        <f t="shared" si="17"/>
        <v>T3</v>
      </c>
      <c r="T83" s="4"/>
      <c r="U83" s="4" t="str">
        <f t="shared" si="18"/>
        <v>M3</v>
      </c>
      <c r="V83" s="4" t="str">
        <f t="shared" si="19"/>
        <v>Không</v>
      </c>
      <c r="W83" s="4"/>
      <c r="X83" s="4" t="str">
        <f t="shared" si="20"/>
        <v>KHÔNG PHÙ HỢP</v>
      </c>
      <c r="Y83" s="4"/>
      <c r="Z83" s="4"/>
    </row>
    <row r="84" spans="1:26" x14ac:dyDescent="0.3">
      <c r="A84" s="4">
        <f t="shared" si="16"/>
        <v>83</v>
      </c>
      <c r="B84" s="4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tr">
        <f t="shared" si="12"/>
        <v>THIẾU</v>
      </c>
      <c r="O84" s="4" t="str">
        <f t="shared" ca="1" si="13"/>
        <v/>
      </c>
      <c r="P84" s="4" t="str">
        <f t="shared" ca="1" si="14"/>
        <v/>
      </c>
      <c r="Q84" s="4" t="str">
        <f t="shared" ca="1" si="15"/>
        <v/>
      </c>
      <c r="R84" s="4"/>
      <c r="S84" s="4" t="str">
        <f t="shared" si="17"/>
        <v>T3</v>
      </c>
      <c r="T84" s="4"/>
      <c r="U84" s="4" t="str">
        <f t="shared" si="18"/>
        <v>M3</v>
      </c>
      <c r="V84" s="4" t="str">
        <f t="shared" si="19"/>
        <v>Không</v>
      </c>
      <c r="W84" s="4"/>
      <c r="X84" s="4" t="str">
        <f t="shared" si="20"/>
        <v>KHÔNG PHÙ HỢP</v>
      </c>
      <c r="Y84" s="4"/>
      <c r="Z84" s="4"/>
    </row>
    <row r="85" spans="1:26" x14ac:dyDescent="0.3">
      <c r="A85" s="4">
        <f t="shared" si="16"/>
        <v>84</v>
      </c>
      <c r="B85" s="4"/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 t="str">
        <f t="shared" si="12"/>
        <v>THIẾU</v>
      </c>
      <c r="O85" s="4" t="str">
        <f t="shared" ca="1" si="13"/>
        <v/>
      </c>
      <c r="P85" s="4" t="str">
        <f t="shared" ca="1" si="14"/>
        <v/>
      </c>
      <c r="Q85" s="4" t="str">
        <f t="shared" ca="1" si="15"/>
        <v/>
      </c>
      <c r="R85" s="4"/>
      <c r="S85" s="4" t="str">
        <f t="shared" si="17"/>
        <v>T3</v>
      </c>
      <c r="T85" s="4"/>
      <c r="U85" s="4" t="str">
        <f t="shared" si="18"/>
        <v>M3</v>
      </c>
      <c r="V85" s="4" t="str">
        <f t="shared" si="19"/>
        <v>Không</v>
      </c>
      <c r="W85" s="4"/>
      <c r="X85" s="4" t="str">
        <f t="shared" si="20"/>
        <v>KHÔNG PHÙ HỢP</v>
      </c>
      <c r="Y85" s="4"/>
      <c r="Z85" s="4"/>
    </row>
    <row r="86" spans="1:26" x14ac:dyDescent="0.3">
      <c r="A86" s="4">
        <f t="shared" si="16"/>
        <v>85</v>
      </c>
      <c r="B86" s="4"/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 t="str">
        <f t="shared" si="12"/>
        <v>THIẾU</v>
      </c>
      <c r="O86" s="4" t="str">
        <f t="shared" ca="1" si="13"/>
        <v/>
      </c>
      <c r="P86" s="4" t="str">
        <f t="shared" ca="1" si="14"/>
        <v/>
      </c>
      <c r="Q86" s="4" t="str">
        <f t="shared" ca="1" si="15"/>
        <v/>
      </c>
      <c r="R86" s="4"/>
      <c r="S86" s="4" t="str">
        <f t="shared" si="17"/>
        <v>T3</v>
      </c>
      <c r="T86" s="4"/>
      <c r="U86" s="4" t="str">
        <f t="shared" si="18"/>
        <v>M3</v>
      </c>
      <c r="V86" s="4" t="str">
        <f t="shared" si="19"/>
        <v>Không</v>
      </c>
      <c r="W86" s="4"/>
      <c r="X86" s="4" t="str">
        <f t="shared" si="20"/>
        <v>KHÔNG PHÙ HỢP</v>
      </c>
      <c r="Y86" s="4"/>
      <c r="Z86" s="4"/>
    </row>
    <row r="87" spans="1:26" x14ac:dyDescent="0.3">
      <c r="A87" s="4">
        <f t="shared" si="16"/>
        <v>86</v>
      </c>
      <c r="B87" s="4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 t="str">
        <f t="shared" si="12"/>
        <v>THIẾU</v>
      </c>
      <c r="O87" s="4" t="str">
        <f t="shared" ca="1" si="13"/>
        <v/>
      </c>
      <c r="P87" s="4" t="str">
        <f t="shared" ca="1" si="14"/>
        <v/>
      </c>
      <c r="Q87" s="4" t="str">
        <f t="shared" ca="1" si="15"/>
        <v/>
      </c>
      <c r="R87" s="4"/>
      <c r="S87" s="4" t="str">
        <f t="shared" si="17"/>
        <v>T3</v>
      </c>
      <c r="T87" s="4"/>
      <c r="U87" s="4" t="str">
        <f t="shared" si="18"/>
        <v>M3</v>
      </c>
      <c r="V87" s="4" t="str">
        <f t="shared" si="19"/>
        <v>Không</v>
      </c>
      <c r="W87" s="4"/>
      <c r="X87" s="4" t="str">
        <f t="shared" si="20"/>
        <v>KHÔNG PHÙ HỢP</v>
      </c>
      <c r="Y87" s="4"/>
      <c r="Z87" s="4"/>
    </row>
    <row r="88" spans="1:26" x14ac:dyDescent="0.3">
      <c r="A88" s="4">
        <f t="shared" si="16"/>
        <v>87</v>
      </c>
      <c r="B88" s="4"/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 t="str">
        <f t="shared" si="12"/>
        <v>THIẾU</v>
      </c>
      <c r="O88" s="4" t="str">
        <f t="shared" ca="1" si="13"/>
        <v/>
      </c>
      <c r="P88" s="4" t="str">
        <f t="shared" ca="1" si="14"/>
        <v/>
      </c>
      <c r="Q88" s="4" t="str">
        <f t="shared" ca="1" si="15"/>
        <v/>
      </c>
      <c r="R88" s="4"/>
      <c r="S88" s="4" t="str">
        <f t="shared" si="17"/>
        <v>T3</v>
      </c>
      <c r="T88" s="4"/>
      <c r="U88" s="4" t="str">
        <f t="shared" si="18"/>
        <v>M3</v>
      </c>
      <c r="V88" s="4" t="str">
        <f t="shared" si="19"/>
        <v>Không</v>
      </c>
      <c r="W88" s="4"/>
      <c r="X88" s="4" t="str">
        <f t="shared" si="20"/>
        <v>KHÔNG PHÙ HỢP</v>
      </c>
      <c r="Y88" s="4"/>
      <c r="Z88" s="4"/>
    </row>
    <row r="89" spans="1:26" x14ac:dyDescent="0.3">
      <c r="A89" s="4">
        <f t="shared" si="16"/>
        <v>88</v>
      </c>
      <c r="B89" s="4"/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 t="str">
        <f t="shared" si="12"/>
        <v>THIẾU</v>
      </c>
      <c r="O89" s="4" t="str">
        <f t="shared" ca="1" si="13"/>
        <v/>
      </c>
      <c r="P89" s="4" t="str">
        <f t="shared" ca="1" si="14"/>
        <v/>
      </c>
      <c r="Q89" s="4" t="str">
        <f t="shared" ca="1" si="15"/>
        <v/>
      </c>
      <c r="R89" s="4"/>
      <c r="S89" s="4" t="str">
        <f t="shared" si="17"/>
        <v>T3</v>
      </c>
      <c r="T89" s="4"/>
      <c r="U89" s="4" t="str">
        <f t="shared" si="18"/>
        <v>M3</v>
      </c>
      <c r="V89" s="4" t="str">
        <f t="shared" si="19"/>
        <v>Không</v>
      </c>
      <c r="W89" s="4"/>
      <c r="X89" s="4" t="str">
        <f t="shared" si="20"/>
        <v>KHÔNG PHÙ HỢP</v>
      </c>
      <c r="Y89" s="4"/>
      <c r="Z89" s="4"/>
    </row>
    <row r="90" spans="1:26" x14ac:dyDescent="0.3">
      <c r="A90" s="4">
        <f t="shared" si="16"/>
        <v>89</v>
      </c>
      <c r="B90" s="4"/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 t="str">
        <f t="shared" si="12"/>
        <v>THIẾU</v>
      </c>
      <c r="O90" s="4" t="str">
        <f t="shared" ca="1" si="13"/>
        <v/>
      </c>
      <c r="P90" s="4" t="str">
        <f t="shared" ca="1" si="14"/>
        <v/>
      </c>
      <c r="Q90" s="4" t="str">
        <f t="shared" ca="1" si="15"/>
        <v/>
      </c>
      <c r="R90" s="4"/>
      <c r="S90" s="4" t="str">
        <f t="shared" si="17"/>
        <v>T3</v>
      </c>
      <c r="T90" s="4"/>
      <c r="U90" s="4" t="str">
        <f t="shared" si="18"/>
        <v>M3</v>
      </c>
      <c r="V90" s="4" t="str">
        <f t="shared" si="19"/>
        <v>Không</v>
      </c>
      <c r="W90" s="4"/>
      <c r="X90" s="4" t="str">
        <f t="shared" si="20"/>
        <v>KHÔNG PHÙ HỢP</v>
      </c>
      <c r="Y90" s="4"/>
      <c r="Z90" s="4"/>
    </row>
    <row r="91" spans="1:26" x14ac:dyDescent="0.3">
      <c r="A91" s="4">
        <f t="shared" si="16"/>
        <v>90</v>
      </c>
      <c r="B91" s="4"/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 t="str">
        <f t="shared" si="12"/>
        <v>THIẾU</v>
      </c>
      <c r="O91" s="4" t="str">
        <f t="shared" ca="1" si="13"/>
        <v/>
      </c>
      <c r="P91" s="4" t="str">
        <f t="shared" ca="1" si="14"/>
        <v/>
      </c>
      <c r="Q91" s="4" t="str">
        <f t="shared" ca="1" si="15"/>
        <v/>
      </c>
      <c r="R91" s="4"/>
      <c r="S91" s="4" t="str">
        <f t="shared" si="17"/>
        <v>T3</v>
      </c>
      <c r="T91" s="4"/>
      <c r="U91" s="4" t="str">
        <f t="shared" si="18"/>
        <v>M3</v>
      </c>
      <c r="V91" s="4" t="str">
        <f t="shared" si="19"/>
        <v>Không</v>
      </c>
      <c r="W91" s="4"/>
      <c r="X91" s="4" t="str">
        <f t="shared" si="20"/>
        <v>KHÔNG PHÙ HỢP</v>
      </c>
      <c r="Y91" s="4"/>
      <c r="Z91" s="4"/>
    </row>
    <row r="92" spans="1:26" x14ac:dyDescent="0.3">
      <c r="A92" s="4">
        <f t="shared" si="16"/>
        <v>91</v>
      </c>
      <c r="B92" s="4"/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 t="str">
        <f t="shared" si="12"/>
        <v>THIẾU</v>
      </c>
      <c r="O92" s="4" t="str">
        <f t="shared" ca="1" si="13"/>
        <v/>
      </c>
      <c r="P92" s="4" t="str">
        <f t="shared" ca="1" si="14"/>
        <v/>
      </c>
      <c r="Q92" s="4" t="str">
        <f t="shared" ca="1" si="15"/>
        <v/>
      </c>
      <c r="R92" s="4"/>
      <c r="S92" s="4" t="str">
        <f t="shared" si="17"/>
        <v>T3</v>
      </c>
      <c r="T92" s="4"/>
      <c r="U92" s="4" t="str">
        <f t="shared" si="18"/>
        <v>M3</v>
      </c>
      <c r="V92" s="4" t="str">
        <f t="shared" si="19"/>
        <v>Không</v>
      </c>
      <c r="W92" s="4"/>
      <c r="X92" s="4" t="str">
        <f t="shared" si="20"/>
        <v>KHÔNG PHÙ HỢP</v>
      </c>
      <c r="Y92" s="4"/>
      <c r="Z92" s="4"/>
    </row>
    <row r="93" spans="1:26" x14ac:dyDescent="0.3">
      <c r="A93" s="4">
        <f t="shared" si="16"/>
        <v>92</v>
      </c>
      <c r="B93" s="4"/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 t="str">
        <f t="shared" si="12"/>
        <v>THIẾU</v>
      </c>
      <c r="O93" s="4" t="str">
        <f t="shared" ca="1" si="13"/>
        <v/>
      </c>
      <c r="P93" s="4" t="str">
        <f t="shared" ca="1" si="14"/>
        <v/>
      </c>
      <c r="Q93" s="4" t="str">
        <f t="shared" ca="1" si="15"/>
        <v/>
      </c>
      <c r="R93" s="4"/>
      <c r="S93" s="4" t="str">
        <f t="shared" si="17"/>
        <v>T3</v>
      </c>
      <c r="T93" s="4"/>
      <c r="U93" s="4" t="str">
        <f t="shared" si="18"/>
        <v>M3</v>
      </c>
      <c r="V93" s="4" t="str">
        <f t="shared" si="19"/>
        <v>Không</v>
      </c>
      <c r="W93" s="4"/>
      <c r="X93" s="4" t="str">
        <f t="shared" si="20"/>
        <v>KHÔNG PHÙ HỢP</v>
      </c>
      <c r="Y93" s="4"/>
      <c r="Z93" s="4"/>
    </row>
    <row r="94" spans="1:26" x14ac:dyDescent="0.3">
      <c r="A94" s="4">
        <f t="shared" si="16"/>
        <v>93</v>
      </c>
      <c r="B94" s="4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 t="str">
        <f t="shared" si="12"/>
        <v>THIẾU</v>
      </c>
      <c r="O94" s="4" t="str">
        <f t="shared" ca="1" si="13"/>
        <v/>
      </c>
      <c r="P94" s="4" t="str">
        <f t="shared" ca="1" si="14"/>
        <v/>
      </c>
      <c r="Q94" s="4" t="str">
        <f t="shared" ca="1" si="15"/>
        <v/>
      </c>
      <c r="R94" s="4"/>
      <c r="S94" s="4" t="str">
        <f t="shared" si="17"/>
        <v>T3</v>
      </c>
      <c r="T94" s="4"/>
      <c r="U94" s="4" t="str">
        <f t="shared" si="18"/>
        <v>M3</v>
      </c>
      <c r="V94" s="4" t="str">
        <f t="shared" si="19"/>
        <v>Không</v>
      </c>
      <c r="W94" s="4"/>
      <c r="X94" s="4" t="str">
        <f t="shared" si="20"/>
        <v>KHÔNG PHÙ HỢP</v>
      </c>
      <c r="Y94" s="4"/>
      <c r="Z94" s="4"/>
    </row>
    <row r="95" spans="1:26" x14ac:dyDescent="0.3">
      <c r="A95" s="4">
        <f t="shared" si="16"/>
        <v>94</v>
      </c>
      <c r="B95" s="4"/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 t="str">
        <f t="shared" si="12"/>
        <v>THIẾU</v>
      </c>
      <c r="O95" s="4" t="str">
        <f t="shared" ca="1" si="13"/>
        <v/>
      </c>
      <c r="P95" s="4" t="str">
        <f t="shared" ca="1" si="14"/>
        <v/>
      </c>
      <c r="Q95" s="4" t="str">
        <f t="shared" ca="1" si="15"/>
        <v/>
      </c>
      <c r="R95" s="4"/>
      <c r="S95" s="4" t="str">
        <f t="shared" si="17"/>
        <v>T3</v>
      </c>
      <c r="T95" s="4"/>
      <c r="U95" s="4" t="str">
        <f t="shared" si="18"/>
        <v>M3</v>
      </c>
      <c r="V95" s="4" t="str">
        <f t="shared" si="19"/>
        <v>Không</v>
      </c>
      <c r="W95" s="4"/>
      <c r="X95" s="4" t="str">
        <f t="shared" si="20"/>
        <v>KHÔNG PHÙ HỢP</v>
      </c>
      <c r="Y95" s="4"/>
      <c r="Z95" s="4"/>
    </row>
    <row r="96" spans="1:26" x14ac:dyDescent="0.3">
      <c r="A96" s="4">
        <f t="shared" si="16"/>
        <v>95</v>
      </c>
      <c r="B96" s="4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 t="str">
        <f t="shared" si="12"/>
        <v>THIẾU</v>
      </c>
      <c r="O96" s="4" t="str">
        <f t="shared" ca="1" si="13"/>
        <v/>
      </c>
      <c r="P96" s="4" t="str">
        <f t="shared" ca="1" si="14"/>
        <v/>
      </c>
      <c r="Q96" s="4" t="str">
        <f t="shared" ca="1" si="15"/>
        <v/>
      </c>
      <c r="R96" s="4"/>
      <c r="S96" s="4" t="str">
        <f t="shared" si="17"/>
        <v>T3</v>
      </c>
      <c r="T96" s="4"/>
      <c r="U96" s="4" t="str">
        <f t="shared" si="18"/>
        <v>M3</v>
      </c>
      <c r="V96" s="4" t="str">
        <f t="shared" si="19"/>
        <v>Không</v>
      </c>
      <c r="W96" s="4"/>
      <c r="X96" s="4" t="str">
        <f t="shared" si="20"/>
        <v>KHÔNG PHÙ HỢP</v>
      </c>
      <c r="Y96" s="4"/>
      <c r="Z96" s="4"/>
    </row>
    <row r="97" spans="1:26" x14ac:dyDescent="0.3">
      <c r="A97" s="4">
        <f t="shared" si="16"/>
        <v>96</v>
      </c>
      <c r="B97" s="4"/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 t="str">
        <f t="shared" si="12"/>
        <v>THIẾU</v>
      </c>
      <c r="O97" s="4" t="str">
        <f t="shared" ca="1" si="13"/>
        <v/>
      </c>
      <c r="P97" s="4" t="str">
        <f t="shared" ca="1" si="14"/>
        <v/>
      </c>
      <c r="Q97" s="4" t="str">
        <f t="shared" ca="1" si="15"/>
        <v/>
      </c>
      <c r="R97" s="4"/>
      <c r="S97" s="4" t="str">
        <f t="shared" si="17"/>
        <v>T3</v>
      </c>
      <c r="T97" s="4"/>
      <c r="U97" s="4" t="str">
        <f t="shared" si="18"/>
        <v>M3</v>
      </c>
      <c r="V97" s="4" t="str">
        <f t="shared" si="19"/>
        <v>Không</v>
      </c>
      <c r="W97" s="4"/>
      <c r="X97" s="4" t="str">
        <f t="shared" si="20"/>
        <v>KHÔNG PHÙ HỢP</v>
      </c>
      <c r="Y97" s="4"/>
      <c r="Z97" s="4"/>
    </row>
    <row r="98" spans="1:26" x14ac:dyDescent="0.3">
      <c r="A98" s="4">
        <f t="shared" si="16"/>
        <v>97</v>
      </c>
      <c r="B98" s="4"/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 t="str">
        <f t="shared" si="12"/>
        <v>THIẾU</v>
      </c>
      <c r="O98" s="4" t="str">
        <f t="shared" ca="1" si="13"/>
        <v/>
      </c>
      <c r="P98" s="4" t="str">
        <f t="shared" ca="1" si="14"/>
        <v/>
      </c>
      <c r="Q98" s="4" t="str">
        <f t="shared" ca="1" si="15"/>
        <v/>
      </c>
      <c r="R98" s="4"/>
      <c r="S98" s="4" t="str">
        <f t="shared" si="17"/>
        <v>T3</v>
      </c>
      <c r="T98" s="4"/>
      <c r="U98" s="4" t="str">
        <f t="shared" si="18"/>
        <v>M3</v>
      </c>
      <c r="V98" s="4" t="str">
        <f t="shared" si="19"/>
        <v>Không</v>
      </c>
      <c r="W98" s="4"/>
      <c r="X98" s="4" t="str">
        <f t="shared" si="20"/>
        <v>KHÔNG PHÙ HỢP</v>
      </c>
      <c r="Y98" s="4"/>
      <c r="Z98" s="4"/>
    </row>
    <row r="99" spans="1:26" x14ac:dyDescent="0.3">
      <c r="A99" s="4">
        <f t="shared" si="16"/>
        <v>98</v>
      </c>
      <c r="B99" s="4"/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 t="str">
        <f t="shared" si="12"/>
        <v>THIẾU</v>
      </c>
      <c r="O99" s="4" t="str">
        <f t="shared" ca="1" si="13"/>
        <v/>
      </c>
      <c r="P99" s="4" t="str">
        <f t="shared" ca="1" si="14"/>
        <v/>
      </c>
      <c r="Q99" s="4" t="str">
        <f t="shared" ca="1" si="15"/>
        <v/>
      </c>
      <c r="R99" s="4"/>
      <c r="S99" s="4" t="str">
        <f t="shared" si="17"/>
        <v>T3</v>
      </c>
      <c r="T99" s="4"/>
      <c r="U99" s="4" t="str">
        <f t="shared" si="18"/>
        <v>M3</v>
      </c>
      <c r="V99" s="4" t="str">
        <f t="shared" si="19"/>
        <v>Không</v>
      </c>
      <c r="W99" s="4"/>
      <c r="X99" s="4" t="str">
        <f t="shared" si="20"/>
        <v>KHÔNG PHÙ HỢP</v>
      </c>
      <c r="Y99" s="4"/>
      <c r="Z99" s="4"/>
    </row>
    <row r="100" spans="1:26" x14ac:dyDescent="0.3">
      <c r="A100" s="4">
        <f t="shared" si="16"/>
        <v>99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 t="str">
        <f t="shared" si="12"/>
        <v>THIẾU</v>
      </c>
      <c r="O100" s="4" t="str">
        <f t="shared" ca="1" si="13"/>
        <v/>
      </c>
      <c r="P100" s="4" t="str">
        <f t="shared" ca="1" si="14"/>
        <v/>
      </c>
      <c r="Q100" s="4" t="str">
        <f t="shared" ca="1" si="15"/>
        <v/>
      </c>
      <c r="R100" s="4"/>
      <c r="S100" s="4" t="str">
        <f t="shared" si="17"/>
        <v>T3</v>
      </c>
      <c r="T100" s="4"/>
      <c r="U100" s="4" t="str">
        <f t="shared" si="18"/>
        <v>M3</v>
      </c>
      <c r="V100" s="4" t="str">
        <f t="shared" si="19"/>
        <v>Không</v>
      </c>
      <c r="W100" s="4"/>
      <c r="X100" s="4" t="str">
        <f t="shared" si="20"/>
        <v>KHÔNG PHÙ HỢP</v>
      </c>
      <c r="Y100" s="4"/>
      <c r="Z100" s="4"/>
    </row>
  </sheetData>
  <conditionalFormatting sqref="N1:N1048576">
    <cfRule type="cellIs" dxfId="5" priority="3" operator="equal">
      <formula>"THIẾU"</formula>
    </cfRule>
  </conditionalFormatting>
  <conditionalFormatting sqref="X1:X1048576">
    <cfRule type="cellIs" dxfId="4" priority="2" operator="equal">
      <formula>"KHÔNG PHÙ HỢP"</formula>
    </cfRule>
  </conditionalFormatting>
  <conditionalFormatting sqref="Y1:Y1048576">
    <cfRule type="cellIs" dxfId="3" priority="1" operator="equal">
      <formula>"Không"</formula>
    </cfRule>
  </conditionalFormatting>
  <dataValidations count="1">
    <dataValidation type="list" sqref="Y2:Y100 W2:W100" xr:uid="{584CE58A-6625-4A71-80DC-3BB9FBC87D42}">
      <formula1>"Có,Không"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"/>
  <sheetViews>
    <sheetView tabSelected="1" zoomScale="70" zoomScaleNormal="70" workbookViewId="0">
      <pane ySplit="1" topLeftCell="A2" activePane="bottomLeft" state="frozen"/>
      <selection pane="bottomLeft" activeCell="E15" sqref="E15"/>
    </sheetView>
  </sheetViews>
  <sheetFormatPr defaultColWidth="8.77734375" defaultRowHeight="13.8" x14ac:dyDescent="0.3"/>
  <cols>
    <col min="1" max="1" width="4.6640625" style="4" bestFit="1" customWidth="1"/>
    <col min="2" max="2" width="12.5546875" style="4" customWidth="1"/>
    <col min="3" max="3" width="14.21875" style="10" customWidth="1"/>
    <col min="4" max="4" width="14.21875" style="4" customWidth="1"/>
    <col min="5" max="5" width="13.88671875" style="4" customWidth="1"/>
    <col min="6" max="6" width="20" style="4" customWidth="1"/>
    <col min="7" max="7" width="15.44140625" style="4" customWidth="1"/>
    <col min="8" max="8" width="15.6640625" style="4" customWidth="1"/>
    <col min="9" max="9" width="17.77734375" style="4" customWidth="1"/>
    <col min="10" max="10" width="14.44140625" style="4" customWidth="1"/>
    <col min="11" max="11" width="19.5546875" style="4" customWidth="1"/>
    <col min="12" max="12" width="17.88671875" style="4" bestFit="1" customWidth="1"/>
    <col min="13" max="16384" width="8.77734375" style="2"/>
  </cols>
  <sheetData>
    <row r="1" spans="1:12" ht="37.5" customHeight="1" x14ac:dyDescent="0.3">
      <c r="A1" s="3" t="s">
        <v>0</v>
      </c>
      <c r="B1" s="3" t="s">
        <v>47</v>
      </c>
      <c r="C1" s="3" t="s">
        <v>20</v>
      </c>
      <c r="D1" s="3" t="s">
        <v>48</v>
      </c>
      <c r="E1" s="3" t="s">
        <v>21</v>
      </c>
      <c r="F1" s="3" t="s">
        <v>1</v>
      </c>
      <c r="G1" s="3" t="s">
        <v>2</v>
      </c>
      <c r="H1" s="3" t="s">
        <v>22</v>
      </c>
      <c r="I1" s="3" t="s">
        <v>23</v>
      </c>
      <c r="J1" s="3" t="s">
        <v>24</v>
      </c>
      <c r="K1" s="3" t="s">
        <v>32</v>
      </c>
      <c r="L1" s="3" t="s">
        <v>25</v>
      </c>
    </row>
    <row r="2" spans="1:12" x14ac:dyDescent="0.3">
      <c r="A2" s="4">
        <f t="shared" ref="A2:A5" si="0">ROW()-1</f>
        <v>1</v>
      </c>
      <c r="B2" s="8">
        <v>46212</v>
      </c>
      <c r="C2" s="10">
        <v>0.9604166666666667</v>
      </c>
      <c r="D2" s="8">
        <v>46213</v>
      </c>
      <c r="E2" s="10">
        <v>0.86805555555555558</v>
      </c>
      <c r="F2" s="4" t="s">
        <v>33</v>
      </c>
      <c r="G2" s="4" t="str">
        <f>IFERROR(_xlfn.XLOOKUP(F2,'Hồ sơ phương tiện'!$B:$B,'Hồ sơ phương tiện'!$E:$E),"")</f>
        <v>5785/ĐK</v>
      </c>
      <c r="H2" s="11" t="s">
        <v>62</v>
      </c>
      <c r="J2" s="4" t="str">
        <f>IFERROR(_xlfn.XLOOKUP(F2,'Hồ sơ phương tiện'!$B:$B,'Hồ sơ phương tiện'!$N:$N),"")</f>
        <v>ĐỦ</v>
      </c>
      <c r="K2" s="4" t="str">
        <f>IFERROR(_xlfn.XLOOKUP(F2,'Hồ sơ phương tiện'!$B:$B,'Hồ sơ phương tiện'!$X:$X),"")</f>
        <v>PHÙ HỢP</v>
      </c>
      <c r="L2" s="4" t="str">
        <f t="shared" ref="L2:L3" si="1">IF(AND(J2="Đủ",K2="PHÙ HỢP"),"CHO PHÉP","KHÔNG ĐỦ HỒ SƠ")</f>
        <v>CHO PHÉP</v>
      </c>
    </row>
    <row r="3" spans="1:12" x14ac:dyDescent="0.3">
      <c r="A3" s="4">
        <f t="shared" si="0"/>
        <v>2</v>
      </c>
      <c r="B3" s="8">
        <v>46213</v>
      </c>
      <c r="C3" s="10">
        <v>0.68055555555555558</v>
      </c>
      <c r="D3" s="8">
        <v>46214</v>
      </c>
      <c r="E3" s="10">
        <v>0.57638888888888884</v>
      </c>
      <c r="F3" s="4" t="s">
        <v>41</v>
      </c>
      <c r="G3" s="4" t="str">
        <f>IFERROR(_xlfn.XLOOKUP(F3,'Hồ sơ phương tiện'!$B:$B,'Hồ sơ phương tiện'!$E:$E),"")</f>
        <v>14008/ĐK</v>
      </c>
      <c r="H3" s="11" t="s">
        <v>62</v>
      </c>
      <c r="J3" s="4" t="str">
        <f>IFERROR(_xlfn.XLOOKUP(F3,'Hồ sơ phương tiện'!$B:$B,'Hồ sơ phương tiện'!$N:$N),"")</f>
        <v>ĐỦ</v>
      </c>
      <c r="K3" s="4" t="str">
        <f>IFERROR(_xlfn.XLOOKUP(F3,'Hồ sơ phương tiện'!$B:$B,'Hồ sơ phương tiện'!$X:$X),"")</f>
        <v>PHÙ HỢP</v>
      </c>
      <c r="L3" s="4" t="str">
        <f t="shared" si="1"/>
        <v>CHO PHÉP</v>
      </c>
    </row>
    <row r="4" spans="1:12" x14ac:dyDescent="0.3">
      <c r="A4" s="4">
        <f t="shared" si="0"/>
        <v>3</v>
      </c>
      <c r="B4" s="8">
        <v>46214</v>
      </c>
      <c r="C4" s="10">
        <v>0.11597222222222223</v>
      </c>
      <c r="D4" s="8">
        <v>46217</v>
      </c>
      <c r="E4" s="10">
        <v>0.58273148148148146</v>
      </c>
      <c r="F4" s="4" t="s">
        <v>50</v>
      </c>
      <c r="G4" s="4" t="str">
        <f>IFERROR(_xlfn.XLOOKUP(F4,'Hồ sơ phương tiện'!$B:$B,'Hồ sơ phương tiện'!$E:$E),"")</f>
        <v>14473/ĐK</v>
      </c>
      <c r="H4" s="4" t="s">
        <v>49</v>
      </c>
      <c r="J4" s="4" t="str">
        <f>IFERROR(_xlfn.XLOOKUP(F4,'Hồ sơ phương tiện'!$B:$B,'Hồ sơ phương tiện'!$N:$N),"")</f>
        <v>ĐỦ</v>
      </c>
      <c r="K4" s="4" t="str">
        <f>IFERROR(_xlfn.XLOOKUP(F4,'Hồ sơ phương tiện'!$B:$B,'Hồ sơ phương tiện'!$X:$X),"")</f>
        <v>PHÙ HỢP</v>
      </c>
      <c r="L4" s="4" t="str">
        <f>IF(AND(J4="Đủ",K4="PHÙ HỢP"),"CHO PHÉP","KHÔNG CHO PHÉP")</f>
        <v>CHO PHÉP</v>
      </c>
    </row>
    <row r="5" spans="1:12" x14ac:dyDescent="0.3">
      <c r="A5" s="4">
        <f t="shared" si="0"/>
        <v>4</v>
      </c>
      <c r="B5" s="8">
        <v>46214</v>
      </c>
      <c r="C5" s="10">
        <v>0.4826388888888889</v>
      </c>
      <c r="D5" s="8">
        <v>46215</v>
      </c>
      <c r="E5" s="10">
        <v>0.35606481481481483</v>
      </c>
      <c r="F5" s="4" t="s">
        <v>56</v>
      </c>
      <c r="G5" s="4" t="str">
        <f>IFERROR(_xlfn.XLOOKUP(F5,'Hồ sơ phương tiện'!$B:$B,'Hồ sơ phương tiện'!$E:$E),"")</f>
        <v>1803/ĐK</v>
      </c>
      <c r="H5" s="4" t="s">
        <v>62</v>
      </c>
      <c r="J5" s="4" t="str">
        <f>IFERROR(_xlfn.XLOOKUP(F5,'Hồ sơ phương tiện'!$B:$B,'Hồ sơ phương tiện'!$N:$N),"")</f>
        <v>ĐỦ</v>
      </c>
      <c r="K5" s="4" t="str">
        <f>IFERROR(_xlfn.XLOOKUP(F5,'Hồ sơ phương tiện'!$B:$B,'Hồ sơ phương tiện'!$X:$X),"")</f>
        <v>PHÙ HỢP</v>
      </c>
      <c r="L5" s="4" t="str">
        <f t="shared" ref="L5:L68" si="2">IF(AND(J5="Đủ",K5="PHÙ HỢP"),"CHO PHÉP","KHÔNG CHO PHÉP")</f>
        <v>CHO PHÉP</v>
      </c>
    </row>
    <row r="6" spans="1:12" x14ac:dyDescent="0.3">
      <c r="A6" s="4">
        <f t="shared" ref="A6:A65" si="3">ROW()-1</f>
        <v>5</v>
      </c>
      <c r="B6" s="8">
        <v>46215</v>
      </c>
      <c r="C6" s="10">
        <v>0.32847222222222222</v>
      </c>
      <c r="D6" s="8">
        <v>46216</v>
      </c>
      <c r="E6" s="10">
        <v>0.36038194444444444</v>
      </c>
      <c r="F6" s="4" t="s">
        <v>63</v>
      </c>
      <c r="G6" s="4" t="str">
        <f>IFERROR(_xlfn.XLOOKUP(F6,'Hồ sơ phương tiện'!$B:$B,'Hồ sơ phương tiện'!$E:$E),"")</f>
        <v>6537/ĐK</v>
      </c>
      <c r="H6" s="4" t="s">
        <v>62</v>
      </c>
      <c r="J6" s="4" t="str">
        <f>IFERROR(_xlfn.XLOOKUP(F6,'Hồ sơ phương tiện'!$B:$B,'Hồ sơ phương tiện'!$N:$N),"")</f>
        <v>ĐỦ</v>
      </c>
      <c r="K6" s="4" t="str">
        <f>IFERROR(_xlfn.XLOOKUP(F6,'Hồ sơ phương tiện'!$B:$B,'Hồ sơ phương tiện'!$X:$X),"")</f>
        <v>PHÙ HỢP</v>
      </c>
      <c r="L6" s="4" t="str">
        <f t="shared" si="2"/>
        <v>CHO PHÉP</v>
      </c>
    </row>
    <row r="7" spans="1:12" x14ac:dyDescent="0.3">
      <c r="A7" s="4">
        <f t="shared" si="3"/>
        <v>6</v>
      </c>
      <c r="B7" s="8">
        <v>46216</v>
      </c>
      <c r="C7" s="10">
        <v>0.39583333333333331</v>
      </c>
      <c r="D7" s="8">
        <v>46217</v>
      </c>
      <c r="E7" s="10">
        <v>0.68472222222222223</v>
      </c>
      <c r="F7" s="4" t="s">
        <v>69</v>
      </c>
      <c r="G7" s="4" t="str">
        <f>IFERROR(_xlfn.XLOOKUP(F7,'Hồ sơ phương tiện'!$B:$B,'Hồ sơ phương tiện'!$E:$E),"")</f>
        <v>1554/ĐK</v>
      </c>
      <c r="H7" s="4" t="s">
        <v>62</v>
      </c>
      <c r="J7" s="4" t="str">
        <f>IFERROR(_xlfn.XLOOKUP(F7,'Hồ sơ phương tiện'!$B:$B,'Hồ sơ phương tiện'!$N:$N),"")</f>
        <v>ĐỦ</v>
      </c>
      <c r="K7" s="4" t="str">
        <f>IFERROR(_xlfn.XLOOKUP(F7,'Hồ sơ phương tiện'!$B:$B,'Hồ sơ phương tiện'!$X:$X),"")</f>
        <v>PHÙ HỢP</v>
      </c>
      <c r="L7" s="4" t="str">
        <f t="shared" si="2"/>
        <v>CHO PHÉP</v>
      </c>
    </row>
    <row r="8" spans="1:12" x14ac:dyDescent="0.3">
      <c r="A8" s="4">
        <f t="shared" si="3"/>
        <v>7</v>
      </c>
      <c r="B8" s="8">
        <v>46216</v>
      </c>
      <c r="C8" s="10">
        <v>0.90277777777777779</v>
      </c>
      <c r="D8" s="8">
        <v>46217</v>
      </c>
      <c r="E8" s="10">
        <v>0.6875</v>
      </c>
      <c r="F8" s="4" t="s">
        <v>75</v>
      </c>
      <c r="G8" s="4" t="str">
        <f>IFERROR(_xlfn.XLOOKUP(F8,'Hồ sơ phương tiện'!$B:$B,'Hồ sơ phương tiện'!$E:$E),"")</f>
        <v>8604/ĐK</v>
      </c>
      <c r="H8" s="4" t="s">
        <v>62</v>
      </c>
      <c r="J8" s="4" t="str">
        <f>IFERROR(_xlfn.XLOOKUP(F8,'Hồ sơ phương tiện'!$B:$B,'Hồ sơ phương tiện'!$N:$N),"")</f>
        <v>ĐỦ</v>
      </c>
      <c r="K8" s="4" t="str">
        <f>IFERROR(_xlfn.XLOOKUP(F8,'Hồ sơ phương tiện'!$B:$B,'Hồ sơ phương tiện'!$X:$X),"")</f>
        <v>PHÙ HỢP</v>
      </c>
      <c r="L8" s="4" t="str">
        <f t="shared" si="2"/>
        <v>CHO PHÉP</v>
      </c>
    </row>
    <row r="9" spans="1:12" x14ac:dyDescent="0.3">
      <c r="A9" s="4">
        <f t="shared" si="3"/>
        <v>8</v>
      </c>
      <c r="B9" s="8"/>
      <c r="E9" s="10"/>
      <c r="J9" s="4" t="str">
        <f>IFERROR(_xlfn.XLOOKUP(F9,'Hồ sơ phương tiện'!$B:$B,'Hồ sơ phương tiện'!$N:$N),"")</f>
        <v>THIẾU</v>
      </c>
      <c r="K9" s="4" t="str">
        <f>IFERROR(_xlfn.XLOOKUP(F9,'Hồ sơ phương tiện'!$B:$B,'Hồ sơ phương tiện'!$X:$X),"")</f>
        <v>KHÔNG PHÙ HỢP</v>
      </c>
      <c r="L9" s="4" t="str">
        <f t="shared" si="2"/>
        <v>KHÔNG CHO PHÉP</v>
      </c>
    </row>
    <row r="10" spans="1:12" x14ac:dyDescent="0.3">
      <c r="A10" s="4">
        <f t="shared" si="3"/>
        <v>9</v>
      </c>
      <c r="E10" s="10"/>
      <c r="G10" s="4">
        <f>IFERROR(_xlfn.XLOOKUP(F10,'Hồ sơ phương tiện'!$B:$B,'Hồ sơ phương tiện'!$E:$E),"")</f>
        <v>0</v>
      </c>
      <c r="J10" s="4" t="str">
        <f>IFERROR(_xlfn.XLOOKUP(F10,'Hồ sơ phương tiện'!$B:$B,'Hồ sơ phương tiện'!$N:$N),"")</f>
        <v>THIẾU</v>
      </c>
      <c r="K10" s="4" t="str">
        <f>IFERROR(_xlfn.XLOOKUP(F10,'Hồ sơ phương tiện'!$B:$B,'Hồ sơ phương tiện'!$X:$X),"")</f>
        <v>KHÔNG PHÙ HỢP</v>
      </c>
      <c r="L10" s="4" t="str">
        <f t="shared" si="2"/>
        <v>KHÔNG CHO PHÉP</v>
      </c>
    </row>
    <row r="11" spans="1:12" x14ac:dyDescent="0.3">
      <c r="A11" s="4">
        <f t="shared" si="3"/>
        <v>10</v>
      </c>
      <c r="E11" s="10"/>
      <c r="G11" s="4">
        <f>IFERROR(_xlfn.XLOOKUP(F11,'Hồ sơ phương tiện'!$B:$B,'Hồ sơ phương tiện'!$E:$E),"")</f>
        <v>0</v>
      </c>
      <c r="J11" s="4" t="str">
        <f>IFERROR(_xlfn.XLOOKUP(F11,'Hồ sơ phương tiện'!$B:$B,'Hồ sơ phương tiện'!$N:$N),"")</f>
        <v>THIẾU</v>
      </c>
      <c r="K11" s="4" t="str">
        <f>IFERROR(_xlfn.XLOOKUP(F11,'Hồ sơ phương tiện'!$B:$B,'Hồ sơ phương tiện'!$X:$X),"")</f>
        <v>KHÔNG PHÙ HỢP</v>
      </c>
      <c r="L11" s="4" t="str">
        <f t="shared" si="2"/>
        <v>KHÔNG CHO PHÉP</v>
      </c>
    </row>
    <row r="12" spans="1:12" x14ac:dyDescent="0.3">
      <c r="A12" s="4">
        <f t="shared" si="3"/>
        <v>11</v>
      </c>
      <c r="E12" s="10"/>
      <c r="G12" s="4">
        <f>IFERROR(_xlfn.XLOOKUP(F12,'Hồ sơ phương tiện'!$B:$B,'Hồ sơ phương tiện'!$E:$E),"")</f>
        <v>0</v>
      </c>
      <c r="J12" s="4" t="str">
        <f>IFERROR(_xlfn.XLOOKUP(F12,'Hồ sơ phương tiện'!$B:$B,'Hồ sơ phương tiện'!$N:$N),"")</f>
        <v>THIẾU</v>
      </c>
      <c r="K12" s="4" t="str">
        <f>IFERROR(_xlfn.XLOOKUP(F12,'Hồ sơ phương tiện'!$B:$B,'Hồ sơ phương tiện'!$X:$X),"")</f>
        <v>KHÔNG PHÙ HỢP</v>
      </c>
      <c r="L12" s="4" t="str">
        <f t="shared" si="2"/>
        <v>KHÔNG CHO PHÉP</v>
      </c>
    </row>
    <row r="13" spans="1:12" x14ac:dyDescent="0.3">
      <c r="A13" s="4">
        <f t="shared" si="3"/>
        <v>12</v>
      </c>
      <c r="E13" s="10"/>
      <c r="G13" s="4">
        <f>IFERROR(_xlfn.XLOOKUP(F13,'Hồ sơ phương tiện'!$B:$B,'Hồ sơ phương tiện'!$E:$E),"")</f>
        <v>0</v>
      </c>
      <c r="J13" s="4" t="str">
        <f>IFERROR(_xlfn.XLOOKUP(F13,'Hồ sơ phương tiện'!$B:$B,'Hồ sơ phương tiện'!$N:$N),"")</f>
        <v>THIẾU</v>
      </c>
      <c r="K13" s="4" t="str">
        <f>IFERROR(_xlfn.XLOOKUP(F13,'Hồ sơ phương tiện'!$B:$B,'Hồ sơ phương tiện'!$X:$X),"")</f>
        <v>KHÔNG PHÙ HỢP</v>
      </c>
      <c r="L13" s="4" t="str">
        <f t="shared" si="2"/>
        <v>KHÔNG CHO PHÉP</v>
      </c>
    </row>
    <row r="14" spans="1:12" x14ac:dyDescent="0.3">
      <c r="A14" s="4">
        <f t="shared" si="3"/>
        <v>13</v>
      </c>
      <c r="E14" s="10"/>
      <c r="G14" s="4">
        <f>IFERROR(_xlfn.XLOOKUP(F14,'Hồ sơ phương tiện'!$B:$B,'Hồ sơ phương tiện'!$E:$E),"")</f>
        <v>0</v>
      </c>
      <c r="J14" s="4" t="str">
        <f>IFERROR(_xlfn.XLOOKUP(F14,'Hồ sơ phương tiện'!$B:$B,'Hồ sơ phương tiện'!$N:$N),"")</f>
        <v>THIẾU</v>
      </c>
      <c r="K14" s="4" t="str">
        <f>IFERROR(_xlfn.XLOOKUP(F14,'Hồ sơ phương tiện'!$B:$B,'Hồ sơ phương tiện'!$X:$X),"")</f>
        <v>KHÔNG PHÙ HỢP</v>
      </c>
      <c r="L14" s="4" t="str">
        <f t="shared" si="2"/>
        <v>KHÔNG CHO PHÉP</v>
      </c>
    </row>
    <row r="15" spans="1:12" x14ac:dyDescent="0.3">
      <c r="A15" s="4">
        <f t="shared" si="3"/>
        <v>14</v>
      </c>
      <c r="E15" s="10"/>
      <c r="G15" s="4">
        <f>IFERROR(_xlfn.XLOOKUP(F15,'Hồ sơ phương tiện'!$B:$B,'Hồ sơ phương tiện'!$E:$E),"")</f>
        <v>0</v>
      </c>
      <c r="J15" s="4" t="str">
        <f>IFERROR(_xlfn.XLOOKUP(F15,'Hồ sơ phương tiện'!$B:$B,'Hồ sơ phương tiện'!$N:$N),"")</f>
        <v>THIẾU</v>
      </c>
      <c r="K15" s="4" t="str">
        <f>IFERROR(_xlfn.XLOOKUP(F15,'Hồ sơ phương tiện'!$B:$B,'Hồ sơ phương tiện'!$X:$X),"")</f>
        <v>KHÔNG PHÙ HỢP</v>
      </c>
      <c r="L15" s="4" t="str">
        <f t="shared" si="2"/>
        <v>KHÔNG CHO PHÉP</v>
      </c>
    </row>
    <row r="16" spans="1:12" x14ac:dyDescent="0.3">
      <c r="A16" s="4">
        <f t="shared" si="3"/>
        <v>15</v>
      </c>
      <c r="E16" s="10"/>
      <c r="G16" s="4">
        <f>IFERROR(_xlfn.XLOOKUP(F16,'Hồ sơ phương tiện'!$B:$B,'Hồ sơ phương tiện'!$E:$E),"")</f>
        <v>0</v>
      </c>
      <c r="J16" s="4" t="str">
        <f>IFERROR(_xlfn.XLOOKUP(F16,'Hồ sơ phương tiện'!$B:$B,'Hồ sơ phương tiện'!$N:$N),"")</f>
        <v>THIẾU</v>
      </c>
      <c r="K16" s="4" t="str">
        <f>IFERROR(_xlfn.XLOOKUP(F16,'Hồ sơ phương tiện'!$B:$B,'Hồ sơ phương tiện'!$X:$X),"")</f>
        <v>KHÔNG PHÙ HỢP</v>
      </c>
      <c r="L16" s="4" t="str">
        <f t="shared" si="2"/>
        <v>KHÔNG CHO PHÉP</v>
      </c>
    </row>
    <row r="17" spans="1:12" x14ac:dyDescent="0.3">
      <c r="A17" s="4">
        <f t="shared" si="3"/>
        <v>16</v>
      </c>
      <c r="E17" s="10"/>
      <c r="G17" s="4">
        <f>IFERROR(_xlfn.XLOOKUP(F17,'Hồ sơ phương tiện'!$B:$B,'Hồ sơ phương tiện'!$E:$E),"")</f>
        <v>0</v>
      </c>
      <c r="J17" s="4" t="str">
        <f>IFERROR(_xlfn.XLOOKUP(F17,'Hồ sơ phương tiện'!$B:$B,'Hồ sơ phương tiện'!$N:$N),"")</f>
        <v>THIẾU</v>
      </c>
      <c r="K17" s="4" t="str">
        <f>IFERROR(_xlfn.XLOOKUP(F17,'Hồ sơ phương tiện'!$B:$B,'Hồ sơ phương tiện'!$X:$X),"")</f>
        <v>KHÔNG PHÙ HỢP</v>
      </c>
      <c r="L17" s="4" t="str">
        <f t="shared" si="2"/>
        <v>KHÔNG CHO PHÉP</v>
      </c>
    </row>
    <row r="18" spans="1:12" x14ac:dyDescent="0.3">
      <c r="A18" s="4">
        <f t="shared" si="3"/>
        <v>17</v>
      </c>
      <c r="E18" s="10"/>
      <c r="G18" s="4">
        <f>IFERROR(_xlfn.XLOOKUP(F18,'Hồ sơ phương tiện'!$B:$B,'Hồ sơ phương tiện'!$E:$E),"")</f>
        <v>0</v>
      </c>
      <c r="J18" s="4" t="str">
        <f>IFERROR(_xlfn.XLOOKUP(F18,'Hồ sơ phương tiện'!$B:$B,'Hồ sơ phương tiện'!$N:$N),"")</f>
        <v>THIẾU</v>
      </c>
      <c r="K18" s="4" t="str">
        <f>IFERROR(_xlfn.XLOOKUP(F18,'Hồ sơ phương tiện'!$B:$B,'Hồ sơ phương tiện'!$X:$X),"")</f>
        <v>KHÔNG PHÙ HỢP</v>
      </c>
      <c r="L18" s="4" t="str">
        <f t="shared" si="2"/>
        <v>KHÔNG CHO PHÉP</v>
      </c>
    </row>
    <row r="19" spans="1:12" x14ac:dyDescent="0.3">
      <c r="A19" s="4">
        <f t="shared" si="3"/>
        <v>18</v>
      </c>
      <c r="E19" s="10"/>
      <c r="G19" s="4">
        <f>IFERROR(_xlfn.XLOOKUP(F19,'Hồ sơ phương tiện'!$B:$B,'Hồ sơ phương tiện'!$E:$E),"")</f>
        <v>0</v>
      </c>
      <c r="J19" s="4" t="str">
        <f>IFERROR(_xlfn.XLOOKUP(F19,'Hồ sơ phương tiện'!$B:$B,'Hồ sơ phương tiện'!$N:$N),"")</f>
        <v>THIẾU</v>
      </c>
      <c r="K19" s="4" t="str">
        <f>IFERROR(_xlfn.XLOOKUP(F19,'Hồ sơ phương tiện'!$B:$B,'Hồ sơ phương tiện'!$X:$X),"")</f>
        <v>KHÔNG PHÙ HỢP</v>
      </c>
      <c r="L19" s="4" t="str">
        <f t="shared" si="2"/>
        <v>KHÔNG CHO PHÉP</v>
      </c>
    </row>
    <row r="20" spans="1:12" x14ac:dyDescent="0.3">
      <c r="A20" s="4">
        <f t="shared" si="3"/>
        <v>19</v>
      </c>
      <c r="E20" s="10"/>
      <c r="G20" s="4">
        <f>IFERROR(_xlfn.XLOOKUP(F20,'Hồ sơ phương tiện'!$B:$B,'Hồ sơ phương tiện'!$E:$E),"")</f>
        <v>0</v>
      </c>
      <c r="J20" s="4" t="str">
        <f>IFERROR(_xlfn.XLOOKUP(F20,'Hồ sơ phương tiện'!$B:$B,'Hồ sơ phương tiện'!$N:$N),"")</f>
        <v>THIẾU</v>
      </c>
      <c r="K20" s="4" t="str">
        <f>IFERROR(_xlfn.XLOOKUP(F20,'Hồ sơ phương tiện'!$B:$B,'Hồ sơ phương tiện'!$X:$X),"")</f>
        <v>KHÔNG PHÙ HỢP</v>
      </c>
      <c r="L20" s="4" t="str">
        <f t="shared" si="2"/>
        <v>KHÔNG CHO PHÉP</v>
      </c>
    </row>
    <row r="21" spans="1:12" x14ac:dyDescent="0.3">
      <c r="A21" s="4">
        <f t="shared" si="3"/>
        <v>20</v>
      </c>
      <c r="E21" s="10"/>
      <c r="G21" s="4">
        <f>IFERROR(_xlfn.XLOOKUP(F21,'Hồ sơ phương tiện'!$B:$B,'Hồ sơ phương tiện'!$E:$E),"")</f>
        <v>0</v>
      </c>
      <c r="J21" s="4" t="str">
        <f>IFERROR(_xlfn.XLOOKUP(F21,'Hồ sơ phương tiện'!$B:$B,'Hồ sơ phương tiện'!$N:$N),"")</f>
        <v>THIẾU</v>
      </c>
      <c r="K21" s="4" t="str">
        <f>IFERROR(_xlfn.XLOOKUP(F21,'Hồ sơ phương tiện'!$B:$B,'Hồ sơ phương tiện'!$X:$X),"")</f>
        <v>KHÔNG PHÙ HỢP</v>
      </c>
      <c r="L21" s="4" t="str">
        <f t="shared" si="2"/>
        <v>KHÔNG CHO PHÉP</v>
      </c>
    </row>
    <row r="22" spans="1:12" x14ac:dyDescent="0.3">
      <c r="A22" s="4">
        <f t="shared" si="3"/>
        <v>21</v>
      </c>
      <c r="E22" s="10"/>
      <c r="G22" s="4">
        <f>IFERROR(_xlfn.XLOOKUP(F22,'Hồ sơ phương tiện'!$B:$B,'Hồ sơ phương tiện'!$E:$E),"")</f>
        <v>0</v>
      </c>
      <c r="J22" s="4" t="str">
        <f>IFERROR(_xlfn.XLOOKUP(F22,'Hồ sơ phương tiện'!$B:$B,'Hồ sơ phương tiện'!$N:$N),"")</f>
        <v>THIẾU</v>
      </c>
      <c r="K22" s="4" t="str">
        <f>IFERROR(_xlfn.XLOOKUP(F22,'Hồ sơ phương tiện'!$B:$B,'Hồ sơ phương tiện'!$X:$X),"")</f>
        <v>KHÔNG PHÙ HỢP</v>
      </c>
      <c r="L22" s="4" t="str">
        <f t="shared" si="2"/>
        <v>KHÔNG CHO PHÉP</v>
      </c>
    </row>
    <row r="23" spans="1:12" x14ac:dyDescent="0.3">
      <c r="A23" s="4">
        <f t="shared" si="3"/>
        <v>22</v>
      </c>
      <c r="E23" s="10"/>
      <c r="G23" s="4">
        <f>IFERROR(_xlfn.XLOOKUP(F23,'Hồ sơ phương tiện'!$B:$B,'Hồ sơ phương tiện'!$E:$E),"")</f>
        <v>0</v>
      </c>
      <c r="J23" s="4" t="str">
        <f>IFERROR(_xlfn.XLOOKUP(F23,'Hồ sơ phương tiện'!$B:$B,'Hồ sơ phương tiện'!$N:$N),"")</f>
        <v>THIẾU</v>
      </c>
      <c r="K23" s="4" t="str">
        <f>IFERROR(_xlfn.XLOOKUP(F23,'Hồ sơ phương tiện'!$B:$B,'Hồ sơ phương tiện'!$X:$X),"")</f>
        <v>KHÔNG PHÙ HỢP</v>
      </c>
      <c r="L23" s="4" t="str">
        <f t="shared" si="2"/>
        <v>KHÔNG CHO PHÉP</v>
      </c>
    </row>
    <row r="24" spans="1:12" x14ac:dyDescent="0.3">
      <c r="A24" s="4">
        <f t="shared" si="3"/>
        <v>23</v>
      </c>
      <c r="E24" s="10"/>
      <c r="G24" s="4">
        <f>IFERROR(_xlfn.XLOOKUP(F24,'Hồ sơ phương tiện'!$B:$B,'Hồ sơ phương tiện'!$E:$E),"")</f>
        <v>0</v>
      </c>
      <c r="J24" s="4" t="str">
        <f>IFERROR(_xlfn.XLOOKUP(F24,'Hồ sơ phương tiện'!$B:$B,'Hồ sơ phương tiện'!$N:$N),"")</f>
        <v>THIẾU</v>
      </c>
      <c r="K24" s="4" t="str">
        <f>IFERROR(_xlfn.XLOOKUP(F24,'Hồ sơ phương tiện'!$B:$B,'Hồ sơ phương tiện'!$X:$X),"")</f>
        <v>KHÔNG PHÙ HỢP</v>
      </c>
      <c r="L24" s="4" t="str">
        <f t="shared" si="2"/>
        <v>KHÔNG CHO PHÉP</v>
      </c>
    </row>
    <row r="25" spans="1:12" x14ac:dyDescent="0.3">
      <c r="A25" s="4">
        <f t="shared" si="3"/>
        <v>24</v>
      </c>
      <c r="E25" s="10"/>
      <c r="G25" s="4">
        <f>IFERROR(_xlfn.XLOOKUP(F25,'Hồ sơ phương tiện'!$B:$B,'Hồ sơ phương tiện'!$E:$E),"")</f>
        <v>0</v>
      </c>
      <c r="J25" s="4" t="str">
        <f>IFERROR(_xlfn.XLOOKUP(F25,'Hồ sơ phương tiện'!$B:$B,'Hồ sơ phương tiện'!$N:$N),"")</f>
        <v>THIẾU</v>
      </c>
      <c r="K25" s="4" t="str">
        <f>IFERROR(_xlfn.XLOOKUP(F25,'Hồ sơ phương tiện'!$B:$B,'Hồ sơ phương tiện'!$X:$X),"")</f>
        <v>KHÔNG PHÙ HỢP</v>
      </c>
      <c r="L25" s="4" t="str">
        <f t="shared" si="2"/>
        <v>KHÔNG CHO PHÉP</v>
      </c>
    </row>
    <row r="26" spans="1:12" x14ac:dyDescent="0.3">
      <c r="A26" s="4">
        <f t="shared" si="3"/>
        <v>25</v>
      </c>
      <c r="E26" s="10"/>
      <c r="G26" s="4">
        <f>IFERROR(_xlfn.XLOOKUP(F26,'Hồ sơ phương tiện'!$B:$B,'Hồ sơ phương tiện'!$E:$E),"")</f>
        <v>0</v>
      </c>
      <c r="J26" s="4" t="str">
        <f>IFERROR(_xlfn.XLOOKUP(F26,'Hồ sơ phương tiện'!$B:$B,'Hồ sơ phương tiện'!$N:$N),"")</f>
        <v>THIẾU</v>
      </c>
      <c r="K26" s="4" t="str">
        <f>IFERROR(_xlfn.XLOOKUP(F26,'Hồ sơ phương tiện'!$B:$B,'Hồ sơ phương tiện'!$X:$X),"")</f>
        <v>KHÔNG PHÙ HỢP</v>
      </c>
      <c r="L26" s="4" t="str">
        <f t="shared" si="2"/>
        <v>KHÔNG CHO PHÉP</v>
      </c>
    </row>
    <row r="27" spans="1:12" x14ac:dyDescent="0.3">
      <c r="A27" s="4">
        <f t="shared" si="3"/>
        <v>26</v>
      </c>
      <c r="E27" s="10"/>
      <c r="G27" s="4">
        <f>IFERROR(_xlfn.XLOOKUP(F27,'Hồ sơ phương tiện'!$B:$B,'Hồ sơ phương tiện'!$E:$E),"")</f>
        <v>0</v>
      </c>
      <c r="J27" s="4" t="str">
        <f>IFERROR(_xlfn.XLOOKUP(F27,'Hồ sơ phương tiện'!$B:$B,'Hồ sơ phương tiện'!$N:$N),"")</f>
        <v>THIẾU</v>
      </c>
      <c r="K27" s="4" t="str">
        <f>IFERROR(_xlfn.XLOOKUP(F27,'Hồ sơ phương tiện'!$B:$B,'Hồ sơ phương tiện'!$X:$X),"")</f>
        <v>KHÔNG PHÙ HỢP</v>
      </c>
      <c r="L27" s="4" t="str">
        <f t="shared" si="2"/>
        <v>KHÔNG CHO PHÉP</v>
      </c>
    </row>
    <row r="28" spans="1:12" x14ac:dyDescent="0.3">
      <c r="A28" s="4">
        <f t="shared" si="3"/>
        <v>27</v>
      </c>
      <c r="E28" s="10"/>
      <c r="G28" s="4">
        <f>IFERROR(_xlfn.XLOOKUP(F28,'Hồ sơ phương tiện'!$B:$B,'Hồ sơ phương tiện'!$E:$E),"")</f>
        <v>0</v>
      </c>
      <c r="J28" s="4" t="str">
        <f>IFERROR(_xlfn.XLOOKUP(F28,'Hồ sơ phương tiện'!$B:$B,'Hồ sơ phương tiện'!$N:$N),"")</f>
        <v>THIẾU</v>
      </c>
      <c r="K28" s="4" t="str">
        <f>IFERROR(_xlfn.XLOOKUP(F28,'Hồ sơ phương tiện'!$B:$B,'Hồ sơ phương tiện'!$X:$X),"")</f>
        <v>KHÔNG PHÙ HỢP</v>
      </c>
      <c r="L28" s="4" t="str">
        <f t="shared" si="2"/>
        <v>KHÔNG CHO PHÉP</v>
      </c>
    </row>
    <row r="29" spans="1:12" x14ac:dyDescent="0.3">
      <c r="A29" s="4">
        <f t="shared" si="3"/>
        <v>28</v>
      </c>
      <c r="E29" s="10"/>
      <c r="G29" s="4">
        <f>IFERROR(_xlfn.XLOOKUP(F29,'Hồ sơ phương tiện'!$B:$B,'Hồ sơ phương tiện'!$E:$E),"")</f>
        <v>0</v>
      </c>
      <c r="J29" s="4" t="str">
        <f>IFERROR(_xlfn.XLOOKUP(F29,'Hồ sơ phương tiện'!$B:$B,'Hồ sơ phương tiện'!$N:$N),"")</f>
        <v>THIẾU</v>
      </c>
      <c r="K29" s="4" t="str">
        <f>IFERROR(_xlfn.XLOOKUP(F29,'Hồ sơ phương tiện'!$B:$B,'Hồ sơ phương tiện'!$X:$X),"")</f>
        <v>KHÔNG PHÙ HỢP</v>
      </c>
      <c r="L29" s="4" t="str">
        <f t="shared" si="2"/>
        <v>KHÔNG CHO PHÉP</v>
      </c>
    </row>
    <row r="30" spans="1:12" x14ac:dyDescent="0.3">
      <c r="A30" s="4">
        <f t="shared" si="3"/>
        <v>29</v>
      </c>
      <c r="E30" s="10"/>
      <c r="G30" s="4">
        <f>IFERROR(_xlfn.XLOOKUP(F30,'Hồ sơ phương tiện'!$B:$B,'Hồ sơ phương tiện'!$E:$E),"")</f>
        <v>0</v>
      </c>
      <c r="J30" s="4" t="str">
        <f>IFERROR(_xlfn.XLOOKUP(F30,'Hồ sơ phương tiện'!$B:$B,'Hồ sơ phương tiện'!$N:$N),"")</f>
        <v>THIẾU</v>
      </c>
      <c r="K30" s="4" t="str">
        <f>IFERROR(_xlfn.XLOOKUP(F30,'Hồ sơ phương tiện'!$B:$B,'Hồ sơ phương tiện'!$X:$X),"")</f>
        <v>KHÔNG PHÙ HỢP</v>
      </c>
      <c r="L30" s="4" t="str">
        <f t="shared" si="2"/>
        <v>KHÔNG CHO PHÉP</v>
      </c>
    </row>
    <row r="31" spans="1:12" x14ac:dyDescent="0.3">
      <c r="A31" s="4">
        <f t="shared" si="3"/>
        <v>30</v>
      </c>
      <c r="E31" s="10"/>
      <c r="G31" s="4">
        <f>IFERROR(_xlfn.XLOOKUP(F31,'Hồ sơ phương tiện'!$B:$B,'Hồ sơ phương tiện'!$E:$E),"")</f>
        <v>0</v>
      </c>
      <c r="J31" s="4" t="str">
        <f>IFERROR(_xlfn.XLOOKUP(F31,'Hồ sơ phương tiện'!$B:$B,'Hồ sơ phương tiện'!$N:$N),"")</f>
        <v>THIẾU</v>
      </c>
      <c r="K31" s="4" t="str">
        <f>IFERROR(_xlfn.XLOOKUP(F31,'Hồ sơ phương tiện'!$B:$B,'Hồ sơ phương tiện'!$X:$X),"")</f>
        <v>KHÔNG PHÙ HỢP</v>
      </c>
      <c r="L31" s="4" t="str">
        <f t="shared" si="2"/>
        <v>KHÔNG CHO PHÉP</v>
      </c>
    </row>
    <row r="32" spans="1:12" x14ac:dyDescent="0.3">
      <c r="A32" s="4">
        <f t="shared" si="3"/>
        <v>31</v>
      </c>
      <c r="E32" s="10"/>
      <c r="G32" s="4">
        <f>IFERROR(_xlfn.XLOOKUP(F32,'Hồ sơ phương tiện'!$B:$B,'Hồ sơ phương tiện'!$E:$E),"")</f>
        <v>0</v>
      </c>
      <c r="J32" s="4" t="str">
        <f>IFERROR(_xlfn.XLOOKUP(F32,'Hồ sơ phương tiện'!$B:$B,'Hồ sơ phương tiện'!$N:$N),"")</f>
        <v>THIẾU</v>
      </c>
      <c r="K32" s="4" t="str">
        <f>IFERROR(_xlfn.XLOOKUP(F32,'Hồ sơ phương tiện'!$B:$B,'Hồ sơ phương tiện'!$X:$X),"")</f>
        <v>KHÔNG PHÙ HỢP</v>
      </c>
      <c r="L32" s="4" t="str">
        <f t="shared" si="2"/>
        <v>KHÔNG CHO PHÉP</v>
      </c>
    </row>
    <row r="33" spans="1:12" x14ac:dyDescent="0.3">
      <c r="A33" s="4">
        <f t="shared" si="3"/>
        <v>32</v>
      </c>
      <c r="E33" s="10"/>
      <c r="G33" s="4">
        <f>IFERROR(_xlfn.XLOOKUP(F33,'Hồ sơ phương tiện'!$B:$B,'Hồ sơ phương tiện'!$E:$E),"")</f>
        <v>0</v>
      </c>
      <c r="J33" s="4" t="str">
        <f>IFERROR(_xlfn.XLOOKUP(F33,'Hồ sơ phương tiện'!$B:$B,'Hồ sơ phương tiện'!$N:$N),"")</f>
        <v>THIẾU</v>
      </c>
      <c r="K33" s="4" t="str">
        <f>IFERROR(_xlfn.XLOOKUP(F33,'Hồ sơ phương tiện'!$B:$B,'Hồ sơ phương tiện'!$X:$X),"")</f>
        <v>KHÔNG PHÙ HỢP</v>
      </c>
      <c r="L33" s="4" t="str">
        <f t="shared" si="2"/>
        <v>KHÔNG CHO PHÉP</v>
      </c>
    </row>
    <row r="34" spans="1:12" x14ac:dyDescent="0.3">
      <c r="A34" s="4">
        <f t="shared" si="3"/>
        <v>33</v>
      </c>
      <c r="E34" s="10"/>
      <c r="G34" s="4">
        <f>IFERROR(_xlfn.XLOOKUP(F34,'Hồ sơ phương tiện'!$B:$B,'Hồ sơ phương tiện'!$E:$E),"")</f>
        <v>0</v>
      </c>
      <c r="J34" s="4" t="str">
        <f>IFERROR(_xlfn.XLOOKUP(F34,'Hồ sơ phương tiện'!$B:$B,'Hồ sơ phương tiện'!$N:$N),"")</f>
        <v>THIẾU</v>
      </c>
      <c r="K34" s="4" t="str">
        <f>IFERROR(_xlfn.XLOOKUP(F34,'Hồ sơ phương tiện'!$B:$B,'Hồ sơ phương tiện'!$X:$X),"")</f>
        <v>KHÔNG PHÙ HỢP</v>
      </c>
      <c r="L34" s="4" t="str">
        <f t="shared" si="2"/>
        <v>KHÔNG CHO PHÉP</v>
      </c>
    </row>
    <row r="35" spans="1:12" x14ac:dyDescent="0.3">
      <c r="A35" s="4">
        <f t="shared" si="3"/>
        <v>34</v>
      </c>
      <c r="E35" s="10"/>
      <c r="G35" s="4">
        <f>IFERROR(_xlfn.XLOOKUP(F35,'Hồ sơ phương tiện'!$B:$B,'Hồ sơ phương tiện'!$E:$E),"")</f>
        <v>0</v>
      </c>
      <c r="J35" s="4" t="str">
        <f>IFERROR(_xlfn.XLOOKUP(F35,'Hồ sơ phương tiện'!$B:$B,'Hồ sơ phương tiện'!$N:$N),"")</f>
        <v>THIẾU</v>
      </c>
      <c r="K35" s="4" t="str">
        <f>IFERROR(_xlfn.XLOOKUP(F35,'Hồ sơ phương tiện'!$B:$B,'Hồ sơ phương tiện'!$X:$X),"")</f>
        <v>KHÔNG PHÙ HỢP</v>
      </c>
      <c r="L35" s="4" t="str">
        <f t="shared" si="2"/>
        <v>KHÔNG CHO PHÉP</v>
      </c>
    </row>
    <row r="36" spans="1:12" x14ac:dyDescent="0.3">
      <c r="A36" s="4">
        <f t="shared" si="3"/>
        <v>35</v>
      </c>
      <c r="E36" s="10"/>
      <c r="G36" s="4">
        <f>IFERROR(_xlfn.XLOOKUP(F36,'Hồ sơ phương tiện'!$B:$B,'Hồ sơ phương tiện'!$E:$E),"")</f>
        <v>0</v>
      </c>
      <c r="J36" s="4" t="str">
        <f>IFERROR(_xlfn.XLOOKUP(F36,'Hồ sơ phương tiện'!$B:$B,'Hồ sơ phương tiện'!$N:$N),"")</f>
        <v>THIẾU</v>
      </c>
      <c r="K36" s="4" t="str">
        <f>IFERROR(_xlfn.XLOOKUP(F36,'Hồ sơ phương tiện'!$B:$B,'Hồ sơ phương tiện'!$X:$X),"")</f>
        <v>KHÔNG PHÙ HỢP</v>
      </c>
      <c r="L36" s="4" t="str">
        <f t="shared" si="2"/>
        <v>KHÔNG CHO PHÉP</v>
      </c>
    </row>
    <row r="37" spans="1:12" x14ac:dyDescent="0.3">
      <c r="A37" s="4">
        <f t="shared" si="3"/>
        <v>36</v>
      </c>
      <c r="E37" s="10"/>
      <c r="G37" s="4">
        <f>IFERROR(_xlfn.XLOOKUP(F37,'Hồ sơ phương tiện'!$B:$B,'Hồ sơ phương tiện'!$E:$E),"")</f>
        <v>0</v>
      </c>
      <c r="J37" s="4" t="str">
        <f>IFERROR(_xlfn.XLOOKUP(F37,'Hồ sơ phương tiện'!$B:$B,'Hồ sơ phương tiện'!$N:$N),"")</f>
        <v>THIẾU</v>
      </c>
      <c r="K37" s="4" t="str">
        <f>IFERROR(_xlfn.XLOOKUP(F37,'Hồ sơ phương tiện'!$B:$B,'Hồ sơ phương tiện'!$X:$X),"")</f>
        <v>KHÔNG PHÙ HỢP</v>
      </c>
      <c r="L37" s="4" t="str">
        <f t="shared" si="2"/>
        <v>KHÔNG CHO PHÉP</v>
      </c>
    </row>
    <row r="38" spans="1:12" x14ac:dyDescent="0.3">
      <c r="A38" s="4">
        <f t="shared" si="3"/>
        <v>37</v>
      </c>
      <c r="E38" s="10"/>
      <c r="G38" s="4">
        <f>IFERROR(_xlfn.XLOOKUP(F38,'Hồ sơ phương tiện'!$B:$B,'Hồ sơ phương tiện'!$E:$E),"")</f>
        <v>0</v>
      </c>
      <c r="J38" s="4" t="str">
        <f>IFERROR(_xlfn.XLOOKUP(F38,'Hồ sơ phương tiện'!$B:$B,'Hồ sơ phương tiện'!$N:$N),"")</f>
        <v>THIẾU</v>
      </c>
      <c r="K38" s="4" t="str">
        <f>IFERROR(_xlfn.XLOOKUP(F38,'Hồ sơ phương tiện'!$B:$B,'Hồ sơ phương tiện'!$X:$X),"")</f>
        <v>KHÔNG PHÙ HỢP</v>
      </c>
      <c r="L38" s="4" t="str">
        <f t="shared" si="2"/>
        <v>KHÔNG CHO PHÉP</v>
      </c>
    </row>
    <row r="39" spans="1:12" x14ac:dyDescent="0.3">
      <c r="A39" s="4">
        <f t="shared" si="3"/>
        <v>38</v>
      </c>
      <c r="E39" s="10"/>
      <c r="G39" s="4">
        <f>IFERROR(_xlfn.XLOOKUP(F39,'Hồ sơ phương tiện'!$B:$B,'Hồ sơ phương tiện'!$E:$E),"")</f>
        <v>0</v>
      </c>
      <c r="J39" s="4" t="str">
        <f>IFERROR(_xlfn.XLOOKUP(F39,'Hồ sơ phương tiện'!$B:$B,'Hồ sơ phương tiện'!$N:$N),"")</f>
        <v>THIẾU</v>
      </c>
      <c r="K39" s="4" t="str">
        <f>IFERROR(_xlfn.XLOOKUP(F39,'Hồ sơ phương tiện'!$B:$B,'Hồ sơ phương tiện'!$X:$X),"")</f>
        <v>KHÔNG PHÙ HỢP</v>
      </c>
      <c r="L39" s="4" t="str">
        <f t="shared" si="2"/>
        <v>KHÔNG CHO PHÉP</v>
      </c>
    </row>
    <row r="40" spans="1:12" x14ac:dyDescent="0.3">
      <c r="A40" s="4">
        <f t="shared" si="3"/>
        <v>39</v>
      </c>
      <c r="E40" s="10"/>
      <c r="G40" s="4">
        <f>IFERROR(_xlfn.XLOOKUP(F40,'Hồ sơ phương tiện'!$B:$B,'Hồ sơ phương tiện'!$E:$E),"")</f>
        <v>0</v>
      </c>
      <c r="J40" s="4" t="str">
        <f>IFERROR(_xlfn.XLOOKUP(F40,'Hồ sơ phương tiện'!$B:$B,'Hồ sơ phương tiện'!$N:$N),"")</f>
        <v>THIẾU</v>
      </c>
      <c r="K40" s="4" t="str">
        <f>IFERROR(_xlfn.XLOOKUP(F40,'Hồ sơ phương tiện'!$B:$B,'Hồ sơ phương tiện'!$X:$X),"")</f>
        <v>KHÔNG PHÙ HỢP</v>
      </c>
      <c r="L40" s="4" t="str">
        <f t="shared" si="2"/>
        <v>KHÔNG CHO PHÉP</v>
      </c>
    </row>
    <row r="41" spans="1:12" x14ac:dyDescent="0.3">
      <c r="A41" s="4">
        <f t="shared" si="3"/>
        <v>40</v>
      </c>
      <c r="E41" s="10"/>
      <c r="G41" s="4">
        <f>IFERROR(_xlfn.XLOOKUP(F41,'Hồ sơ phương tiện'!$B:$B,'Hồ sơ phương tiện'!$E:$E),"")</f>
        <v>0</v>
      </c>
      <c r="J41" s="4" t="str">
        <f>IFERROR(_xlfn.XLOOKUP(F41,'Hồ sơ phương tiện'!$B:$B,'Hồ sơ phương tiện'!$N:$N),"")</f>
        <v>THIẾU</v>
      </c>
      <c r="K41" s="4" t="str">
        <f>IFERROR(_xlfn.XLOOKUP(F41,'Hồ sơ phương tiện'!$B:$B,'Hồ sơ phương tiện'!$X:$X),"")</f>
        <v>KHÔNG PHÙ HỢP</v>
      </c>
      <c r="L41" s="4" t="str">
        <f t="shared" si="2"/>
        <v>KHÔNG CHO PHÉP</v>
      </c>
    </row>
    <row r="42" spans="1:12" x14ac:dyDescent="0.3">
      <c r="A42" s="4">
        <f t="shared" si="3"/>
        <v>41</v>
      </c>
      <c r="E42" s="10"/>
      <c r="G42" s="4">
        <f>IFERROR(_xlfn.XLOOKUP(F42,'Hồ sơ phương tiện'!$B:$B,'Hồ sơ phương tiện'!$E:$E),"")</f>
        <v>0</v>
      </c>
      <c r="J42" s="4" t="str">
        <f>IFERROR(_xlfn.XLOOKUP(F42,'Hồ sơ phương tiện'!$B:$B,'Hồ sơ phương tiện'!$N:$N),"")</f>
        <v>THIẾU</v>
      </c>
      <c r="K42" s="4" t="str">
        <f>IFERROR(_xlfn.XLOOKUP(F42,'Hồ sơ phương tiện'!$B:$B,'Hồ sơ phương tiện'!$X:$X),"")</f>
        <v>KHÔNG PHÙ HỢP</v>
      </c>
      <c r="L42" s="4" t="str">
        <f t="shared" si="2"/>
        <v>KHÔNG CHO PHÉP</v>
      </c>
    </row>
    <row r="43" spans="1:12" x14ac:dyDescent="0.3">
      <c r="A43" s="4">
        <f t="shared" si="3"/>
        <v>42</v>
      </c>
      <c r="E43" s="10"/>
      <c r="G43" s="4">
        <f>IFERROR(_xlfn.XLOOKUP(F43,'Hồ sơ phương tiện'!$B:$B,'Hồ sơ phương tiện'!$E:$E),"")</f>
        <v>0</v>
      </c>
      <c r="J43" s="4" t="str">
        <f>IFERROR(_xlfn.XLOOKUP(F43,'Hồ sơ phương tiện'!$B:$B,'Hồ sơ phương tiện'!$N:$N),"")</f>
        <v>THIẾU</v>
      </c>
      <c r="K43" s="4" t="str">
        <f>IFERROR(_xlfn.XLOOKUP(F43,'Hồ sơ phương tiện'!$B:$B,'Hồ sơ phương tiện'!$X:$X),"")</f>
        <v>KHÔNG PHÙ HỢP</v>
      </c>
      <c r="L43" s="4" t="str">
        <f t="shared" si="2"/>
        <v>KHÔNG CHO PHÉP</v>
      </c>
    </row>
    <row r="44" spans="1:12" x14ac:dyDescent="0.3">
      <c r="A44" s="4">
        <f t="shared" si="3"/>
        <v>43</v>
      </c>
      <c r="E44" s="10"/>
      <c r="G44" s="4">
        <f>IFERROR(_xlfn.XLOOKUP(F44,'Hồ sơ phương tiện'!$B:$B,'Hồ sơ phương tiện'!$E:$E),"")</f>
        <v>0</v>
      </c>
      <c r="J44" s="4" t="str">
        <f>IFERROR(_xlfn.XLOOKUP(F44,'Hồ sơ phương tiện'!$B:$B,'Hồ sơ phương tiện'!$N:$N),"")</f>
        <v>THIẾU</v>
      </c>
      <c r="K44" s="4" t="str">
        <f>IFERROR(_xlfn.XLOOKUP(F44,'Hồ sơ phương tiện'!$B:$B,'Hồ sơ phương tiện'!$X:$X),"")</f>
        <v>KHÔNG PHÙ HỢP</v>
      </c>
      <c r="L44" s="4" t="str">
        <f t="shared" si="2"/>
        <v>KHÔNG CHO PHÉP</v>
      </c>
    </row>
    <row r="45" spans="1:12" x14ac:dyDescent="0.3">
      <c r="A45" s="4">
        <f t="shared" si="3"/>
        <v>44</v>
      </c>
      <c r="E45" s="10"/>
      <c r="G45" s="4">
        <f>IFERROR(_xlfn.XLOOKUP(F45,'Hồ sơ phương tiện'!$B:$B,'Hồ sơ phương tiện'!$E:$E),"")</f>
        <v>0</v>
      </c>
      <c r="J45" s="4" t="str">
        <f>IFERROR(_xlfn.XLOOKUP(F45,'Hồ sơ phương tiện'!$B:$B,'Hồ sơ phương tiện'!$N:$N),"")</f>
        <v>THIẾU</v>
      </c>
      <c r="K45" s="4" t="str">
        <f>IFERROR(_xlfn.XLOOKUP(F45,'Hồ sơ phương tiện'!$B:$B,'Hồ sơ phương tiện'!$X:$X),"")</f>
        <v>KHÔNG PHÙ HỢP</v>
      </c>
      <c r="L45" s="4" t="str">
        <f t="shared" si="2"/>
        <v>KHÔNG CHO PHÉP</v>
      </c>
    </row>
    <row r="46" spans="1:12" x14ac:dyDescent="0.3">
      <c r="A46" s="4">
        <f t="shared" si="3"/>
        <v>45</v>
      </c>
      <c r="E46" s="10"/>
      <c r="G46" s="4">
        <f>IFERROR(_xlfn.XLOOKUP(F46,'Hồ sơ phương tiện'!$B:$B,'Hồ sơ phương tiện'!$E:$E),"")</f>
        <v>0</v>
      </c>
      <c r="J46" s="4" t="str">
        <f>IFERROR(_xlfn.XLOOKUP(F46,'Hồ sơ phương tiện'!$B:$B,'Hồ sơ phương tiện'!$N:$N),"")</f>
        <v>THIẾU</v>
      </c>
      <c r="K46" s="4" t="str">
        <f>IFERROR(_xlfn.XLOOKUP(F46,'Hồ sơ phương tiện'!$B:$B,'Hồ sơ phương tiện'!$X:$X),"")</f>
        <v>KHÔNG PHÙ HỢP</v>
      </c>
      <c r="L46" s="4" t="str">
        <f t="shared" si="2"/>
        <v>KHÔNG CHO PHÉP</v>
      </c>
    </row>
    <row r="47" spans="1:12" x14ac:dyDescent="0.3">
      <c r="A47" s="4">
        <f t="shared" si="3"/>
        <v>46</v>
      </c>
      <c r="E47" s="10"/>
      <c r="G47" s="4">
        <f>IFERROR(_xlfn.XLOOKUP(F47,'Hồ sơ phương tiện'!$B:$B,'Hồ sơ phương tiện'!$E:$E),"")</f>
        <v>0</v>
      </c>
      <c r="J47" s="4" t="str">
        <f>IFERROR(_xlfn.XLOOKUP(F47,'Hồ sơ phương tiện'!$B:$B,'Hồ sơ phương tiện'!$N:$N),"")</f>
        <v>THIẾU</v>
      </c>
      <c r="K47" s="4" t="str">
        <f>IFERROR(_xlfn.XLOOKUP(F47,'Hồ sơ phương tiện'!$B:$B,'Hồ sơ phương tiện'!$X:$X),"")</f>
        <v>KHÔNG PHÙ HỢP</v>
      </c>
      <c r="L47" s="4" t="str">
        <f t="shared" si="2"/>
        <v>KHÔNG CHO PHÉP</v>
      </c>
    </row>
    <row r="48" spans="1:12" x14ac:dyDescent="0.3">
      <c r="A48" s="4">
        <f t="shared" si="3"/>
        <v>47</v>
      </c>
      <c r="E48" s="10"/>
      <c r="G48" s="4">
        <f>IFERROR(_xlfn.XLOOKUP(F48,'Hồ sơ phương tiện'!$B:$B,'Hồ sơ phương tiện'!$E:$E),"")</f>
        <v>0</v>
      </c>
      <c r="J48" s="4" t="str">
        <f>IFERROR(_xlfn.XLOOKUP(F48,'Hồ sơ phương tiện'!$B:$B,'Hồ sơ phương tiện'!$N:$N),"")</f>
        <v>THIẾU</v>
      </c>
      <c r="K48" s="4" t="str">
        <f>IFERROR(_xlfn.XLOOKUP(F48,'Hồ sơ phương tiện'!$B:$B,'Hồ sơ phương tiện'!$X:$X),"")</f>
        <v>KHÔNG PHÙ HỢP</v>
      </c>
      <c r="L48" s="4" t="str">
        <f t="shared" si="2"/>
        <v>KHÔNG CHO PHÉP</v>
      </c>
    </row>
    <row r="49" spans="1:12" x14ac:dyDescent="0.3">
      <c r="A49" s="4">
        <f t="shared" si="3"/>
        <v>48</v>
      </c>
      <c r="E49" s="10"/>
      <c r="G49" s="4">
        <f>IFERROR(_xlfn.XLOOKUP(F49,'Hồ sơ phương tiện'!$B:$B,'Hồ sơ phương tiện'!$E:$E),"")</f>
        <v>0</v>
      </c>
      <c r="J49" s="4" t="str">
        <f>IFERROR(_xlfn.XLOOKUP(F49,'Hồ sơ phương tiện'!$B:$B,'Hồ sơ phương tiện'!$N:$N),"")</f>
        <v>THIẾU</v>
      </c>
      <c r="K49" s="4" t="str">
        <f>IFERROR(_xlfn.XLOOKUP(F49,'Hồ sơ phương tiện'!$B:$B,'Hồ sơ phương tiện'!$X:$X),"")</f>
        <v>KHÔNG PHÙ HỢP</v>
      </c>
      <c r="L49" s="4" t="str">
        <f t="shared" si="2"/>
        <v>KHÔNG CHO PHÉP</v>
      </c>
    </row>
    <row r="50" spans="1:12" x14ac:dyDescent="0.3">
      <c r="A50" s="4">
        <f t="shared" si="3"/>
        <v>49</v>
      </c>
      <c r="E50" s="10"/>
      <c r="G50" s="4">
        <f>IFERROR(_xlfn.XLOOKUP(F50,'Hồ sơ phương tiện'!$B:$B,'Hồ sơ phương tiện'!$E:$E),"")</f>
        <v>0</v>
      </c>
      <c r="J50" s="4" t="str">
        <f>IFERROR(_xlfn.XLOOKUP(F50,'Hồ sơ phương tiện'!$B:$B,'Hồ sơ phương tiện'!$N:$N),"")</f>
        <v>THIẾU</v>
      </c>
      <c r="K50" s="4" t="str">
        <f>IFERROR(_xlfn.XLOOKUP(F50,'Hồ sơ phương tiện'!$B:$B,'Hồ sơ phương tiện'!$X:$X),"")</f>
        <v>KHÔNG PHÙ HỢP</v>
      </c>
      <c r="L50" s="4" t="str">
        <f t="shared" si="2"/>
        <v>KHÔNG CHO PHÉP</v>
      </c>
    </row>
    <row r="51" spans="1:12" x14ac:dyDescent="0.3">
      <c r="A51" s="4">
        <f t="shared" si="3"/>
        <v>50</v>
      </c>
      <c r="E51" s="10"/>
      <c r="G51" s="4">
        <f>IFERROR(_xlfn.XLOOKUP(F51,'Hồ sơ phương tiện'!$B:$B,'Hồ sơ phương tiện'!$E:$E),"")</f>
        <v>0</v>
      </c>
      <c r="J51" s="4" t="str">
        <f>IFERROR(_xlfn.XLOOKUP(F51,'Hồ sơ phương tiện'!$B:$B,'Hồ sơ phương tiện'!$N:$N),"")</f>
        <v>THIẾU</v>
      </c>
      <c r="K51" s="4" t="str">
        <f>IFERROR(_xlfn.XLOOKUP(F51,'Hồ sơ phương tiện'!$B:$B,'Hồ sơ phương tiện'!$X:$X),"")</f>
        <v>KHÔNG PHÙ HỢP</v>
      </c>
      <c r="L51" s="4" t="str">
        <f t="shared" si="2"/>
        <v>KHÔNG CHO PHÉP</v>
      </c>
    </row>
    <row r="52" spans="1:12" x14ac:dyDescent="0.3">
      <c r="A52" s="4">
        <f t="shared" si="3"/>
        <v>51</v>
      </c>
      <c r="E52" s="10"/>
      <c r="G52" s="4">
        <f>IFERROR(_xlfn.XLOOKUP(F52,'Hồ sơ phương tiện'!$B:$B,'Hồ sơ phương tiện'!$E:$E),"")</f>
        <v>0</v>
      </c>
      <c r="J52" s="4" t="str">
        <f>IFERROR(_xlfn.XLOOKUP(F52,'Hồ sơ phương tiện'!$B:$B,'Hồ sơ phương tiện'!$N:$N),"")</f>
        <v>THIẾU</v>
      </c>
      <c r="K52" s="4" t="str">
        <f>IFERROR(_xlfn.XLOOKUP(F52,'Hồ sơ phương tiện'!$B:$B,'Hồ sơ phương tiện'!$X:$X),"")</f>
        <v>KHÔNG PHÙ HỢP</v>
      </c>
      <c r="L52" s="4" t="str">
        <f t="shared" si="2"/>
        <v>KHÔNG CHO PHÉP</v>
      </c>
    </row>
    <row r="53" spans="1:12" x14ac:dyDescent="0.3">
      <c r="A53" s="4">
        <f t="shared" si="3"/>
        <v>52</v>
      </c>
      <c r="E53" s="10"/>
      <c r="G53" s="4">
        <f>IFERROR(_xlfn.XLOOKUP(F53,'Hồ sơ phương tiện'!$B:$B,'Hồ sơ phương tiện'!$E:$E),"")</f>
        <v>0</v>
      </c>
      <c r="J53" s="4" t="str">
        <f>IFERROR(_xlfn.XLOOKUP(F53,'Hồ sơ phương tiện'!$B:$B,'Hồ sơ phương tiện'!$N:$N),"")</f>
        <v>THIẾU</v>
      </c>
      <c r="K53" s="4" t="str">
        <f>IFERROR(_xlfn.XLOOKUP(F53,'Hồ sơ phương tiện'!$B:$B,'Hồ sơ phương tiện'!$X:$X),"")</f>
        <v>KHÔNG PHÙ HỢP</v>
      </c>
      <c r="L53" s="4" t="str">
        <f t="shared" si="2"/>
        <v>KHÔNG CHO PHÉP</v>
      </c>
    </row>
    <row r="54" spans="1:12" x14ac:dyDescent="0.3">
      <c r="A54" s="4">
        <f t="shared" si="3"/>
        <v>53</v>
      </c>
      <c r="E54" s="10"/>
      <c r="G54" s="4">
        <f>IFERROR(_xlfn.XLOOKUP(F54,'Hồ sơ phương tiện'!$B:$B,'Hồ sơ phương tiện'!$E:$E),"")</f>
        <v>0</v>
      </c>
      <c r="J54" s="4" t="str">
        <f>IFERROR(_xlfn.XLOOKUP(F54,'Hồ sơ phương tiện'!$B:$B,'Hồ sơ phương tiện'!$N:$N),"")</f>
        <v>THIẾU</v>
      </c>
      <c r="K54" s="4" t="str">
        <f>IFERROR(_xlfn.XLOOKUP(F54,'Hồ sơ phương tiện'!$B:$B,'Hồ sơ phương tiện'!$X:$X),"")</f>
        <v>KHÔNG PHÙ HỢP</v>
      </c>
      <c r="L54" s="4" t="str">
        <f t="shared" si="2"/>
        <v>KHÔNG CHO PHÉP</v>
      </c>
    </row>
    <row r="55" spans="1:12" x14ac:dyDescent="0.3">
      <c r="A55" s="4">
        <f t="shared" si="3"/>
        <v>54</v>
      </c>
      <c r="E55" s="10"/>
      <c r="G55" s="4">
        <f>IFERROR(_xlfn.XLOOKUP(F55,'Hồ sơ phương tiện'!$B:$B,'Hồ sơ phương tiện'!$E:$E),"")</f>
        <v>0</v>
      </c>
      <c r="J55" s="4" t="str">
        <f>IFERROR(_xlfn.XLOOKUP(F55,'Hồ sơ phương tiện'!$B:$B,'Hồ sơ phương tiện'!$N:$N),"")</f>
        <v>THIẾU</v>
      </c>
      <c r="K55" s="4" t="str">
        <f>IFERROR(_xlfn.XLOOKUP(F55,'Hồ sơ phương tiện'!$B:$B,'Hồ sơ phương tiện'!$X:$X),"")</f>
        <v>KHÔNG PHÙ HỢP</v>
      </c>
      <c r="L55" s="4" t="str">
        <f t="shared" si="2"/>
        <v>KHÔNG CHO PHÉP</v>
      </c>
    </row>
    <row r="56" spans="1:12" x14ac:dyDescent="0.3">
      <c r="A56" s="4">
        <f t="shared" si="3"/>
        <v>55</v>
      </c>
      <c r="E56" s="10"/>
      <c r="G56" s="4">
        <f>IFERROR(_xlfn.XLOOKUP(F56,'Hồ sơ phương tiện'!$B:$B,'Hồ sơ phương tiện'!$E:$E),"")</f>
        <v>0</v>
      </c>
      <c r="J56" s="4" t="str">
        <f>IFERROR(_xlfn.XLOOKUP(F56,'Hồ sơ phương tiện'!$B:$B,'Hồ sơ phương tiện'!$N:$N),"")</f>
        <v>THIẾU</v>
      </c>
      <c r="K56" s="4" t="str">
        <f>IFERROR(_xlfn.XLOOKUP(F56,'Hồ sơ phương tiện'!$B:$B,'Hồ sơ phương tiện'!$X:$X),"")</f>
        <v>KHÔNG PHÙ HỢP</v>
      </c>
      <c r="L56" s="4" t="str">
        <f t="shared" si="2"/>
        <v>KHÔNG CHO PHÉP</v>
      </c>
    </row>
    <row r="57" spans="1:12" x14ac:dyDescent="0.3">
      <c r="A57" s="4">
        <f t="shared" si="3"/>
        <v>56</v>
      </c>
      <c r="E57" s="10"/>
      <c r="G57" s="4">
        <f>IFERROR(_xlfn.XLOOKUP(F57,'Hồ sơ phương tiện'!$B:$B,'Hồ sơ phương tiện'!$E:$E),"")</f>
        <v>0</v>
      </c>
      <c r="J57" s="4" t="str">
        <f>IFERROR(_xlfn.XLOOKUP(F57,'Hồ sơ phương tiện'!$B:$B,'Hồ sơ phương tiện'!$N:$N),"")</f>
        <v>THIẾU</v>
      </c>
      <c r="K57" s="4" t="str">
        <f>IFERROR(_xlfn.XLOOKUP(F57,'Hồ sơ phương tiện'!$B:$B,'Hồ sơ phương tiện'!$X:$X),"")</f>
        <v>KHÔNG PHÙ HỢP</v>
      </c>
      <c r="L57" s="4" t="str">
        <f t="shared" si="2"/>
        <v>KHÔNG CHO PHÉP</v>
      </c>
    </row>
    <row r="58" spans="1:12" x14ac:dyDescent="0.3">
      <c r="A58" s="4">
        <f t="shared" si="3"/>
        <v>57</v>
      </c>
      <c r="E58" s="10"/>
      <c r="G58" s="4">
        <f>IFERROR(_xlfn.XLOOKUP(F58,'Hồ sơ phương tiện'!$B:$B,'Hồ sơ phương tiện'!$E:$E),"")</f>
        <v>0</v>
      </c>
      <c r="J58" s="4" t="str">
        <f>IFERROR(_xlfn.XLOOKUP(F58,'Hồ sơ phương tiện'!$B:$B,'Hồ sơ phương tiện'!$N:$N),"")</f>
        <v>THIẾU</v>
      </c>
      <c r="K58" s="4" t="str">
        <f>IFERROR(_xlfn.XLOOKUP(F58,'Hồ sơ phương tiện'!$B:$B,'Hồ sơ phương tiện'!$X:$X),"")</f>
        <v>KHÔNG PHÙ HỢP</v>
      </c>
      <c r="L58" s="4" t="str">
        <f t="shared" si="2"/>
        <v>KHÔNG CHO PHÉP</v>
      </c>
    </row>
    <row r="59" spans="1:12" x14ac:dyDescent="0.3">
      <c r="A59" s="4">
        <f t="shared" si="3"/>
        <v>58</v>
      </c>
      <c r="E59" s="10"/>
      <c r="G59" s="4">
        <f>IFERROR(_xlfn.XLOOKUP(F59,'Hồ sơ phương tiện'!$B:$B,'Hồ sơ phương tiện'!$E:$E),"")</f>
        <v>0</v>
      </c>
      <c r="J59" s="4" t="str">
        <f>IFERROR(_xlfn.XLOOKUP(F59,'Hồ sơ phương tiện'!$B:$B,'Hồ sơ phương tiện'!$N:$N),"")</f>
        <v>THIẾU</v>
      </c>
      <c r="K59" s="4" t="str">
        <f>IFERROR(_xlfn.XLOOKUP(F59,'Hồ sơ phương tiện'!$B:$B,'Hồ sơ phương tiện'!$X:$X),"")</f>
        <v>KHÔNG PHÙ HỢP</v>
      </c>
      <c r="L59" s="4" t="str">
        <f t="shared" si="2"/>
        <v>KHÔNG CHO PHÉP</v>
      </c>
    </row>
    <row r="60" spans="1:12" x14ac:dyDescent="0.3">
      <c r="A60" s="4">
        <f t="shared" si="3"/>
        <v>59</v>
      </c>
      <c r="E60" s="10"/>
      <c r="G60" s="4">
        <f>IFERROR(_xlfn.XLOOKUP(F60,'Hồ sơ phương tiện'!$B:$B,'Hồ sơ phương tiện'!$E:$E),"")</f>
        <v>0</v>
      </c>
      <c r="J60" s="4" t="str">
        <f>IFERROR(_xlfn.XLOOKUP(F60,'Hồ sơ phương tiện'!$B:$B,'Hồ sơ phương tiện'!$N:$N),"")</f>
        <v>THIẾU</v>
      </c>
      <c r="K60" s="4" t="str">
        <f>IFERROR(_xlfn.XLOOKUP(F60,'Hồ sơ phương tiện'!$B:$B,'Hồ sơ phương tiện'!$X:$X),"")</f>
        <v>KHÔNG PHÙ HỢP</v>
      </c>
      <c r="L60" s="4" t="str">
        <f t="shared" si="2"/>
        <v>KHÔNG CHO PHÉP</v>
      </c>
    </row>
    <row r="61" spans="1:12" x14ac:dyDescent="0.3">
      <c r="A61" s="4">
        <f t="shared" si="3"/>
        <v>60</v>
      </c>
      <c r="E61" s="10"/>
      <c r="G61" s="4">
        <f>IFERROR(_xlfn.XLOOKUP(F61,'Hồ sơ phương tiện'!$B:$B,'Hồ sơ phương tiện'!$E:$E),"")</f>
        <v>0</v>
      </c>
      <c r="J61" s="4" t="str">
        <f>IFERROR(_xlfn.XLOOKUP(F61,'Hồ sơ phương tiện'!$B:$B,'Hồ sơ phương tiện'!$N:$N),"")</f>
        <v>THIẾU</v>
      </c>
      <c r="K61" s="4" t="str">
        <f>IFERROR(_xlfn.XLOOKUP(F61,'Hồ sơ phương tiện'!$B:$B,'Hồ sơ phương tiện'!$X:$X),"")</f>
        <v>KHÔNG PHÙ HỢP</v>
      </c>
      <c r="L61" s="4" t="str">
        <f t="shared" si="2"/>
        <v>KHÔNG CHO PHÉP</v>
      </c>
    </row>
    <row r="62" spans="1:12" x14ac:dyDescent="0.3">
      <c r="A62" s="4">
        <f t="shared" si="3"/>
        <v>61</v>
      </c>
      <c r="E62" s="10"/>
      <c r="G62" s="4">
        <f>IFERROR(_xlfn.XLOOKUP(F62,'Hồ sơ phương tiện'!$B:$B,'Hồ sơ phương tiện'!$E:$E),"")</f>
        <v>0</v>
      </c>
      <c r="J62" s="4" t="str">
        <f>IFERROR(_xlfn.XLOOKUP(F62,'Hồ sơ phương tiện'!$B:$B,'Hồ sơ phương tiện'!$N:$N),"")</f>
        <v>THIẾU</v>
      </c>
      <c r="K62" s="4" t="str">
        <f>IFERROR(_xlfn.XLOOKUP(F62,'Hồ sơ phương tiện'!$B:$B,'Hồ sơ phương tiện'!$X:$X),"")</f>
        <v>KHÔNG PHÙ HỢP</v>
      </c>
      <c r="L62" s="4" t="str">
        <f t="shared" si="2"/>
        <v>KHÔNG CHO PHÉP</v>
      </c>
    </row>
    <row r="63" spans="1:12" x14ac:dyDescent="0.3">
      <c r="A63" s="4">
        <f t="shared" si="3"/>
        <v>62</v>
      </c>
      <c r="E63" s="10"/>
      <c r="G63" s="4">
        <f>IFERROR(_xlfn.XLOOKUP(F63,'Hồ sơ phương tiện'!$B:$B,'Hồ sơ phương tiện'!$E:$E),"")</f>
        <v>0</v>
      </c>
      <c r="J63" s="4" t="str">
        <f>IFERROR(_xlfn.XLOOKUP(F63,'Hồ sơ phương tiện'!$B:$B,'Hồ sơ phương tiện'!$N:$N),"")</f>
        <v>THIẾU</v>
      </c>
      <c r="K63" s="4" t="str">
        <f>IFERROR(_xlfn.XLOOKUP(F63,'Hồ sơ phương tiện'!$B:$B,'Hồ sơ phương tiện'!$X:$X),"")</f>
        <v>KHÔNG PHÙ HỢP</v>
      </c>
      <c r="L63" s="4" t="str">
        <f t="shared" si="2"/>
        <v>KHÔNG CHO PHÉP</v>
      </c>
    </row>
    <row r="64" spans="1:12" x14ac:dyDescent="0.3">
      <c r="A64" s="4">
        <f t="shared" si="3"/>
        <v>63</v>
      </c>
      <c r="E64" s="10"/>
      <c r="G64" s="4">
        <f>IFERROR(_xlfn.XLOOKUP(F64,'Hồ sơ phương tiện'!$B:$B,'Hồ sơ phương tiện'!$E:$E),"")</f>
        <v>0</v>
      </c>
      <c r="J64" s="4" t="str">
        <f>IFERROR(_xlfn.XLOOKUP(F64,'Hồ sơ phương tiện'!$B:$B,'Hồ sơ phương tiện'!$N:$N),"")</f>
        <v>THIẾU</v>
      </c>
      <c r="K64" s="4" t="str">
        <f>IFERROR(_xlfn.XLOOKUP(F64,'Hồ sơ phương tiện'!$B:$B,'Hồ sơ phương tiện'!$X:$X),"")</f>
        <v>KHÔNG PHÙ HỢP</v>
      </c>
      <c r="L64" s="4" t="str">
        <f t="shared" si="2"/>
        <v>KHÔNG CHO PHÉP</v>
      </c>
    </row>
    <row r="65" spans="1:12" x14ac:dyDescent="0.3">
      <c r="A65" s="4">
        <f t="shared" si="3"/>
        <v>64</v>
      </c>
      <c r="E65" s="10"/>
      <c r="G65" s="4">
        <f>IFERROR(_xlfn.XLOOKUP(F65,'Hồ sơ phương tiện'!$B:$B,'Hồ sơ phương tiện'!$E:$E),"")</f>
        <v>0</v>
      </c>
      <c r="J65" s="4" t="str">
        <f>IFERROR(_xlfn.XLOOKUP(F65,'Hồ sơ phương tiện'!$B:$B,'Hồ sơ phương tiện'!$N:$N),"")</f>
        <v>THIẾU</v>
      </c>
      <c r="K65" s="4" t="str">
        <f>IFERROR(_xlfn.XLOOKUP(F65,'Hồ sơ phương tiện'!$B:$B,'Hồ sơ phương tiện'!$X:$X),"")</f>
        <v>KHÔNG PHÙ HỢP</v>
      </c>
      <c r="L65" s="4" t="str">
        <f t="shared" si="2"/>
        <v>KHÔNG CHO PHÉP</v>
      </c>
    </row>
    <row r="66" spans="1:12" x14ac:dyDescent="0.3">
      <c r="A66" s="4">
        <f t="shared" ref="A66:A129" si="4">ROW()-1</f>
        <v>65</v>
      </c>
      <c r="E66" s="10"/>
      <c r="G66" s="4">
        <f>IFERROR(_xlfn.XLOOKUP(F66,'Hồ sơ phương tiện'!$B:$B,'Hồ sơ phương tiện'!$E:$E),"")</f>
        <v>0</v>
      </c>
      <c r="J66" s="4" t="str">
        <f>IFERROR(_xlfn.XLOOKUP(F66,'Hồ sơ phương tiện'!$B:$B,'Hồ sơ phương tiện'!$N:$N),"")</f>
        <v>THIẾU</v>
      </c>
      <c r="K66" s="4" t="str">
        <f>IFERROR(_xlfn.XLOOKUP(F66,'Hồ sơ phương tiện'!$B:$B,'Hồ sơ phương tiện'!$X:$X),"")</f>
        <v>KHÔNG PHÙ HỢP</v>
      </c>
      <c r="L66" s="4" t="str">
        <f t="shared" si="2"/>
        <v>KHÔNG CHO PHÉP</v>
      </c>
    </row>
    <row r="67" spans="1:12" x14ac:dyDescent="0.3">
      <c r="A67" s="4">
        <f t="shared" si="4"/>
        <v>66</v>
      </c>
      <c r="E67" s="10"/>
      <c r="G67" s="4">
        <f>IFERROR(_xlfn.XLOOKUP(F67,'Hồ sơ phương tiện'!$B:$B,'Hồ sơ phương tiện'!$E:$E),"")</f>
        <v>0</v>
      </c>
      <c r="J67" s="4" t="str">
        <f>IFERROR(_xlfn.XLOOKUP(F67,'Hồ sơ phương tiện'!$B:$B,'Hồ sơ phương tiện'!$N:$N),"")</f>
        <v>THIẾU</v>
      </c>
      <c r="K67" s="4" t="str">
        <f>IFERROR(_xlfn.XLOOKUP(F67,'Hồ sơ phương tiện'!$B:$B,'Hồ sơ phương tiện'!$X:$X),"")</f>
        <v>KHÔNG PHÙ HỢP</v>
      </c>
      <c r="L67" s="4" t="str">
        <f t="shared" si="2"/>
        <v>KHÔNG CHO PHÉP</v>
      </c>
    </row>
    <row r="68" spans="1:12" x14ac:dyDescent="0.3">
      <c r="A68" s="4">
        <f t="shared" si="4"/>
        <v>67</v>
      </c>
      <c r="E68" s="10"/>
      <c r="G68" s="4">
        <f>IFERROR(_xlfn.XLOOKUP(F68,'Hồ sơ phương tiện'!$B:$B,'Hồ sơ phương tiện'!$E:$E),"")</f>
        <v>0</v>
      </c>
      <c r="J68" s="4" t="str">
        <f>IFERROR(_xlfn.XLOOKUP(F68,'Hồ sơ phương tiện'!$B:$B,'Hồ sơ phương tiện'!$N:$N),"")</f>
        <v>THIẾU</v>
      </c>
      <c r="K68" s="4" t="str">
        <f>IFERROR(_xlfn.XLOOKUP(F68,'Hồ sơ phương tiện'!$B:$B,'Hồ sơ phương tiện'!$X:$X),"")</f>
        <v>KHÔNG PHÙ HỢP</v>
      </c>
      <c r="L68" s="4" t="str">
        <f t="shared" si="2"/>
        <v>KHÔNG CHO PHÉP</v>
      </c>
    </row>
    <row r="69" spans="1:12" x14ac:dyDescent="0.3">
      <c r="A69" s="4">
        <f t="shared" si="4"/>
        <v>68</v>
      </c>
      <c r="E69" s="10"/>
      <c r="G69" s="4">
        <f>IFERROR(_xlfn.XLOOKUP(F69,'Hồ sơ phương tiện'!$B:$B,'Hồ sơ phương tiện'!$E:$E),"")</f>
        <v>0</v>
      </c>
      <c r="J69" s="4" t="str">
        <f>IFERROR(_xlfn.XLOOKUP(F69,'Hồ sơ phương tiện'!$B:$B,'Hồ sơ phương tiện'!$N:$N),"")</f>
        <v>THIẾU</v>
      </c>
      <c r="K69" s="4" t="str">
        <f>IFERROR(_xlfn.XLOOKUP(F69,'Hồ sơ phương tiện'!$B:$B,'Hồ sơ phương tiện'!$X:$X),"")</f>
        <v>KHÔNG PHÙ HỢP</v>
      </c>
      <c r="L69" s="4" t="str">
        <f t="shared" ref="L69:L132" si="5">IF(AND(J69="Đủ",K69="PHÙ HỢP"),"CHO PHÉP","KHÔNG CHO PHÉP")</f>
        <v>KHÔNG CHO PHÉP</v>
      </c>
    </row>
    <row r="70" spans="1:12" x14ac:dyDescent="0.3">
      <c r="A70" s="4">
        <f t="shared" si="4"/>
        <v>69</v>
      </c>
      <c r="E70" s="10"/>
      <c r="G70" s="4">
        <f>IFERROR(_xlfn.XLOOKUP(F70,'Hồ sơ phương tiện'!$B:$B,'Hồ sơ phương tiện'!$E:$E),"")</f>
        <v>0</v>
      </c>
      <c r="J70" s="4" t="str">
        <f>IFERROR(_xlfn.XLOOKUP(F70,'Hồ sơ phương tiện'!$B:$B,'Hồ sơ phương tiện'!$N:$N),"")</f>
        <v>THIẾU</v>
      </c>
      <c r="K70" s="4" t="str">
        <f>IFERROR(_xlfn.XLOOKUP(F70,'Hồ sơ phương tiện'!$B:$B,'Hồ sơ phương tiện'!$X:$X),"")</f>
        <v>KHÔNG PHÙ HỢP</v>
      </c>
      <c r="L70" s="4" t="str">
        <f t="shared" si="5"/>
        <v>KHÔNG CHO PHÉP</v>
      </c>
    </row>
    <row r="71" spans="1:12" x14ac:dyDescent="0.3">
      <c r="A71" s="4">
        <f t="shared" si="4"/>
        <v>70</v>
      </c>
      <c r="E71" s="10"/>
      <c r="G71" s="4">
        <f>IFERROR(_xlfn.XLOOKUP(F71,'Hồ sơ phương tiện'!$B:$B,'Hồ sơ phương tiện'!$E:$E),"")</f>
        <v>0</v>
      </c>
      <c r="J71" s="4" t="str">
        <f>IFERROR(_xlfn.XLOOKUP(F71,'Hồ sơ phương tiện'!$B:$B,'Hồ sơ phương tiện'!$N:$N),"")</f>
        <v>THIẾU</v>
      </c>
      <c r="K71" s="4" t="str">
        <f>IFERROR(_xlfn.XLOOKUP(F71,'Hồ sơ phương tiện'!$B:$B,'Hồ sơ phương tiện'!$X:$X),"")</f>
        <v>KHÔNG PHÙ HỢP</v>
      </c>
      <c r="L71" s="4" t="str">
        <f t="shared" si="5"/>
        <v>KHÔNG CHO PHÉP</v>
      </c>
    </row>
    <row r="72" spans="1:12" x14ac:dyDescent="0.3">
      <c r="A72" s="4">
        <f t="shared" si="4"/>
        <v>71</v>
      </c>
      <c r="E72" s="10"/>
      <c r="G72" s="4">
        <f>IFERROR(_xlfn.XLOOKUP(F72,'Hồ sơ phương tiện'!$B:$B,'Hồ sơ phương tiện'!$E:$E),"")</f>
        <v>0</v>
      </c>
      <c r="J72" s="4" t="str">
        <f>IFERROR(_xlfn.XLOOKUP(F72,'Hồ sơ phương tiện'!$B:$B,'Hồ sơ phương tiện'!$N:$N),"")</f>
        <v>THIẾU</v>
      </c>
      <c r="K72" s="4" t="str">
        <f>IFERROR(_xlfn.XLOOKUP(F72,'Hồ sơ phương tiện'!$B:$B,'Hồ sơ phương tiện'!$X:$X),"")</f>
        <v>KHÔNG PHÙ HỢP</v>
      </c>
      <c r="L72" s="4" t="str">
        <f t="shared" si="5"/>
        <v>KHÔNG CHO PHÉP</v>
      </c>
    </row>
    <row r="73" spans="1:12" x14ac:dyDescent="0.3">
      <c r="A73" s="4">
        <f t="shared" si="4"/>
        <v>72</v>
      </c>
      <c r="E73" s="10"/>
      <c r="G73" s="4">
        <f>IFERROR(_xlfn.XLOOKUP(F73,'Hồ sơ phương tiện'!$B:$B,'Hồ sơ phương tiện'!$E:$E),"")</f>
        <v>0</v>
      </c>
      <c r="J73" s="4" t="str">
        <f>IFERROR(_xlfn.XLOOKUP(F73,'Hồ sơ phương tiện'!$B:$B,'Hồ sơ phương tiện'!$N:$N),"")</f>
        <v>THIẾU</v>
      </c>
      <c r="K73" s="4" t="str">
        <f>IFERROR(_xlfn.XLOOKUP(F73,'Hồ sơ phương tiện'!$B:$B,'Hồ sơ phương tiện'!$X:$X),"")</f>
        <v>KHÔNG PHÙ HỢP</v>
      </c>
      <c r="L73" s="4" t="str">
        <f t="shared" si="5"/>
        <v>KHÔNG CHO PHÉP</v>
      </c>
    </row>
    <row r="74" spans="1:12" x14ac:dyDescent="0.3">
      <c r="A74" s="4">
        <f t="shared" si="4"/>
        <v>73</v>
      </c>
      <c r="E74" s="10"/>
      <c r="G74" s="4">
        <f>IFERROR(_xlfn.XLOOKUP(F74,'Hồ sơ phương tiện'!$B:$B,'Hồ sơ phương tiện'!$E:$E),"")</f>
        <v>0</v>
      </c>
      <c r="J74" s="4" t="str">
        <f>IFERROR(_xlfn.XLOOKUP(F74,'Hồ sơ phương tiện'!$B:$B,'Hồ sơ phương tiện'!$N:$N),"")</f>
        <v>THIẾU</v>
      </c>
      <c r="K74" s="4" t="str">
        <f>IFERROR(_xlfn.XLOOKUP(F74,'Hồ sơ phương tiện'!$B:$B,'Hồ sơ phương tiện'!$X:$X),"")</f>
        <v>KHÔNG PHÙ HỢP</v>
      </c>
      <c r="L74" s="4" t="str">
        <f t="shared" si="5"/>
        <v>KHÔNG CHO PHÉP</v>
      </c>
    </row>
    <row r="75" spans="1:12" x14ac:dyDescent="0.3">
      <c r="A75" s="4">
        <f t="shared" si="4"/>
        <v>74</v>
      </c>
      <c r="E75" s="10"/>
      <c r="G75" s="4">
        <f>IFERROR(_xlfn.XLOOKUP(F75,'Hồ sơ phương tiện'!$B:$B,'Hồ sơ phương tiện'!$E:$E),"")</f>
        <v>0</v>
      </c>
      <c r="J75" s="4" t="str">
        <f>IFERROR(_xlfn.XLOOKUP(F75,'Hồ sơ phương tiện'!$B:$B,'Hồ sơ phương tiện'!$N:$N),"")</f>
        <v>THIẾU</v>
      </c>
      <c r="K75" s="4" t="str">
        <f>IFERROR(_xlfn.XLOOKUP(F75,'Hồ sơ phương tiện'!$B:$B,'Hồ sơ phương tiện'!$X:$X),"")</f>
        <v>KHÔNG PHÙ HỢP</v>
      </c>
      <c r="L75" s="4" t="str">
        <f t="shared" si="5"/>
        <v>KHÔNG CHO PHÉP</v>
      </c>
    </row>
    <row r="76" spans="1:12" x14ac:dyDescent="0.3">
      <c r="A76" s="4">
        <f t="shared" si="4"/>
        <v>75</v>
      </c>
      <c r="E76" s="10"/>
      <c r="G76" s="4">
        <f>IFERROR(_xlfn.XLOOKUP(F76,'Hồ sơ phương tiện'!$B:$B,'Hồ sơ phương tiện'!$E:$E),"")</f>
        <v>0</v>
      </c>
      <c r="J76" s="4" t="str">
        <f>IFERROR(_xlfn.XLOOKUP(F76,'Hồ sơ phương tiện'!$B:$B,'Hồ sơ phương tiện'!$N:$N),"")</f>
        <v>THIẾU</v>
      </c>
      <c r="K76" s="4" t="str">
        <f>IFERROR(_xlfn.XLOOKUP(F76,'Hồ sơ phương tiện'!$B:$B,'Hồ sơ phương tiện'!$X:$X),"")</f>
        <v>KHÔNG PHÙ HỢP</v>
      </c>
      <c r="L76" s="4" t="str">
        <f t="shared" si="5"/>
        <v>KHÔNG CHO PHÉP</v>
      </c>
    </row>
    <row r="77" spans="1:12" x14ac:dyDescent="0.3">
      <c r="A77" s="4">
        <f t="shared" si="4"/>
        <v>76</v>
      </c>
      <c r="E77" s="10"/>
      <c r="G77" s="4">
        <f>IFERROR(_xlfn.XLOOKUP(F77,'Hồ sơ phương tiện'!$B:$B,'Hồ sơ phương tiện'!$E:$E),"")</f>
        <v>0</v>
      </c>
      <c r="J77" s="4" t="str">
        <f>IFERROR(_xlfn.XLOOKUP(F77,'Hồ sơ phương tiện'!$B:$B,'Hồ sơ phương tiện'!$N:$N),"")</f>
        <v>THIẾU</v>
      </c>
      <c r="K77" s="4" t="str">
        <f>IFERROR(_xlfn.XLOOKUP(F77,'Hồ sơ phương tiện'!$B:$B,'Hồ sơ phương tiện'!$X:$X),"")</f>
        <v>KHÔNG PHÙ HỢP</v>
      </c>
      <c r="L77" s="4" t="str">
        <f t="shared" si="5"/>
        <v>KHÔNG CHO PHÉP</v>
      </c>
    </row>
    <row r="78" spans="1:12" x14ac:dyDescent="0.3">
      <c r="A78" s="4">
        <f t="shared" si="4"/>
        <v>77</v>
      </c>
      <c r="E78" s="10"/>
      <c r="G78" s="4">
        <f>IFERROR(_xlfn.XLOOKUP(F78,'Hồ sơ phương tiện'!$B:$B,'Hồ sơ phương tiện'!$E:$E),"")</f>
        <v>0</v>
      </c>
      <c r="J78" s="4" t="str">
        <f>IFERROR(_xlfn.XLOOKUP(F78,'Hồ sơ phương tiện'!$B:$B,'Hồ sơ phương tiện'!$N:$N),"")</f>
        <v>THIẾU</v>
      </c>
      <c r="K78" s="4" t="str">
        <f>IFERROR(_xlfn.XLOOKUP(F78,'Hồ sơ phương tiện'!$B:$B,'Hồ sơ phương tiện'!$X:$X),"")</f>
        <v>KHÔNG PHÙ HỢP</v>
      </c>
      <c r="L78" s="4" t="str">
        <f t="shared" si="5"/>
        <v>KHÔNG CHO PHÉP</v>
      </c>
    </row>
    <row r="79" spans="1:12" x14ac:dyDescent="0.3">
      <c r="A79" s="4">
        <f t="shared" si="4"/>
        <v>78</v>
      </c>
      <c r="E79" s="10"/>
      <c r="G79" s="4">
        <f>IFERROR(_xlfn.XLOOKUP(F79,'Hồ sơ phương tiện'!$B:$B,'Hồ sơ phương tiện'!$E:$E),"")</f>
        <v>0</v>
      </c>
      <c r="J79" s="4" t="str">
        <f>IFERROR(_xlfn.XLOOKUP(F79,'Hồ sơ phương tiện'!$B:$B,'Hồ sơ phương tiện'!$N:$N),"")</f>
        <v>THIẾU</v>
      </c>
      <c r="K79" s="4" t="str">
        <f>IFERROR(_xlfn.XLOOKUP(F79,'Hồ sơ phương tiện'!$B:$B,'Hồ sơ phương tiện'!$X:$X),"")</f>
        <v>KHÔNG PHÙ HỢP</v>
      </c>
      <c r="L79" s="4" t="str">
        <f t="shared" si="5"/>
        <v>KHÔNG CHO PHÉP</v>
      </c>
    </row>
    <row r="80" spans="1:12" x14ac:dyDescent="0.3">
      <c r="A80" s="4">
        <f t="shared" si="4"/>
        <v>79</v>
      </c>
      <c r="E80" s="10"/>
      <c r="G80" s="4">
        <f>IFERROR(_xlfn.XLOOKUP(F80,'Hồ sơ phương tiện'!$B:$B,'Hồ sơ phương tiện'!$E:$E),"")</f>
        <v>0</v>
      </c>
      <c r="J80" s="4" t="str">
        <f>IFERROR(_xlfn.XLOOKUP(F80,'Hồ sơ phương tiện'!$B:$B,'Hồ sơ phương tiện'!$N:$N),"")</f>
        <v>THIẾU</v>
      </c>
      <c r="K80" s="4" t="str">
        <f>IFERROR(_xlfn.XLOOKUP(F80,'Hồ sơ phương tiện'!$B:$B,'Hồ sơ phương tiện'!$X:$X),"")</f>
        <v>KHÔNG PHÙ HỢP</v>
      </c>
      <c r="L80" s="4" t="str">
        <f t="shared" si="5"/>
        <v>KHÔNG CHO PHÉP</v>
      </c>
    </row>
    <row r="81" spans="1:12" x14ac:dyDescent="0.3">
      <c r="A81" s="4">
        <f t="shared" si="4"/>
        <v>80</v>
      </c>
      <c r="E81" s="10"/>
      <c r="G81" s="4">
        <f>IFERROR(_xlfn.XLOOKUP(F81,'Hồ sơ phương tiện'!$B:$B,'Hồ sơ phương tiện'!$E:$E),"")</f>
        <v>0</v>
      </c>
      <c r="J81" s="4" t="str">
        <f>IFERROR(_xlfn.XLOOKUP(F81,'Hồ sơ phương tiện'!$B:$B,'Hồ sơ phương tiện'!$N:$N),"")</f>
        <v>THIẾU</v>
      </c>
      <c r="K81" s="4" t="str">
        <f>IFERROR(_xlfn.XLOOKUP(F81,'Hồ sơ phương tiện'!$B:$B,'Hồ sơ phương tiện'!$X:$X),"")</f>
        <v>KHÔNG PHÙ HỢP</v>
      </c>
      <c r="L81" s="4" t="str">
        <f t="shared" si="5"/>
        <v>KHÔNG CHO PHÉP</v>
      </c>
    </row>
    <row r="82" spans="1:12" x14ac:dyDescent="0.3">
      <c r="A82" s="4">
        <f t="shared" si="4"/>
        <v>81</v>
      </c>
      <c r="E82" s="10"/>
      <c r="G82" s="4">
        <f>IFERROR(_xlfn.XLOOKUP(F82,'Hồ sơ phương tiện'!$B:$B,'Hồ sơ phương tiện'!$E:$E),"")</f>
        <v>0</v>
      </c>
      <c r="J82" s="4" t="str">
        <f>IFERROR(_xlfn.XLOOKUP(F82,'Hồ sơ phương tiện'!$B:$B,'Hồ sơ phương tiện'!$N:$N),"")</f>
        <v>THIẾU</v>
      </c>
      <c r="K82" s="4" t="str">
        <f>IFERROR(_xlfn.XLOOKUP(F82,'Hồ sơ phương tiện'!$B:$B,'Hồ sơ phương tiện'!$X:$X),"")</f>
        <v>KHÔNG PHÙ HỢP</v>
      </c>
      <c r="L82" s="4" t="str">
        <f t="shared" si="5"/>
        <v>KHÔNG CHO PHÉP</v>
      </c>
    </row>
    <row r="83" spans="1:12" x14ac:dyDescent="0.3">
      <c r="A83" s="4">
        <f t="shared" si="4"/>
        <v>82</v>
      </c>
      <c r="E83" s="10"/>
      <c r="G83" s="4">
        <f>IFERROR(_xlfn.XLOOKUP(F83,'Hồ sơ phương tiện'!$B:$B,'Hồ sơ phương tiện'!$E:$E),"")</f>
        <v>0</v>
      </c>
      <c r="J83" s="4" t="str">
        <f>IFERROR(_xlfn.XLOOKUP(F83,'Hồ sơ phương tiện'!$B:$B,'Hồ sơ phương tiện'!$N:$N),"")</f>
        <v>THIẾU</v>
      </c>
      <c r="K83" s="4" t="str">
        <f>IFERROR(_xlfn.XLOOKUP(F83,'Hồ sơ phương tiện'!$B:$B,'Hồ sơ phương tiện'!$X:$X),"")</f>
        <v>KHÔNG PHÙ HỢP</v>
      </c>
      <c r="L83" s="4" t="str">
        <f t="shared" si="5"/>
        <v>KHÔNG CHO PHÉP</v>
      </c>
    </row>
    <row r="84" spans="1:12" x14ac:dyDescent="0.3">
      <c r="A84" s="4">
        <f t="shared" si="4"/>
        <v>83</v>
      </c>
      <c r="E84" s="10"/>
      <c r="G84" s="4">
        <f>IFERROR(_xlfn.XLOOKUP(F84,'Hồ sơ phương tiện'!$B:$B,'Hồ sơ phương tiện'!$E:$E),"")</f>
        <v>0</v>
      </c>
      <c r="J84" s="4" t="str">
        <f>IFERROR(_xlfn.XLOOKUP(F84,'Hồ sơ phương tiện'!$B:$B,'Hồ sơ phương tiện'!$N:$N),"")</f>
        <v>THIẾU</v>
      </c>
      <c r="K84" s="4" t="str">
        <f>IFERROR(_xlfn.XLOOKUP(F84,'Hồ sơ phương tiện'!$B:$B,'Hồ sơ phương tiện'!$X:$X),"")</f>
        <v>KHÔNG PHÙ HỢP</v>
      </c>
      <c r="L84" s="4" t="str">
        <f t="shared" si="5"/>
        <v>KHÔNG CHO PHÉP</v>
      </c>
    </row>
    <row r="85" spans="1:12" x14ac:dyDescent="0.3">
      <c r="A85" s="4">
        <f t="shared" si="4"/>
        <v>84</v>
      </c>
      <c r="E85" s="10"/>
      <c r="G85" s="4">
        <f>IFERROR(_xlfn.XLOOKUP(F85,'Hồ sơ phương tiện'!$B:$B,'Hồ sơ phương tiện'!$E:$E),"")</f>
        <v>0</v>
      </c>
      <c r="J85" s="4" t="str">
        <f>IFERROR(_xlfn.XLOOKUP(F85,'Hồ sơ phương tiện'!$B:$B,'Hồ sơ phương tiện'!$N:$N),"")</f>
        <v>THIẾU</v>
      </c>
      <c r="K85" s="4" t="str">
        <f>IFERROR(_xlfn.XLOOKUP(F85,'Hồ sơ phương tiện'!$B:$B,'Hồ sơ phương tiện'!$X:$X),"")</f>
        <v>KHÔNG PHÙ HỢP</v>
      </c>
      <c r="L85" s="4" t="str">
        <f t="shared" si="5"/>
        <v>KHÔNG CHO PHÉP</v>
      </c>
    </row>
    <row r="86" spans="1:12" x14ac:dyDescent="0.3">
      <c r="A86" s="4">
        <f t="shared" si="4"/>
        <v>85</v>
      </c>
      <c r="E86" s="10"/>
      <c r="G86" s="4">
        <f>IFERROR(_xlfn.XLOOKUP(F86,'Hồ sơ phương tiện'!$B:$B,'Hồ sơ phương tiện'!$E:$E),"")</f>
        <v>0</v>
      </c>
      <c r="J86" s="4" t="str">
        <f>IFERROR(_xlfn.XLOOKUP(F86,'Hồ sơ phương tiện'!$B:$B,'Hồ sơ phương tiện'!$N:$N),"")</f>
        <v>THIẾU</v>
      </c>
      <c r="K86" s="4" t="str">
        <f>IFERROR(_xlfn.XLOOKUP(F86,'Hồ sơ phương tiện'!$B:$B,'Hồ sơ phương tiện'!$X:$X),"")</f>
        <v>KHÔNG PHÙ HỢP</v>
      </c>
      <c r="L86" s="4" t="str">
        <f t="shared" si="5"/>
        <v>KHÔNG CHO PHÉP</v>
      </c>
    </row>
    <row r="87" spans="1:12" x14ac:dyDescent="0.3">
      <c r="A87" s="4">
        <f t="shared" si="4"/>
        <v>86</v>
      </c>
      <c r="E87" s="10"/>
      <c r="G87" s="4">
        <f>IFERROR(_xlfn.XLOOKUP(F87,'Hồ sơ phương tiện'!$B:$B,'Hồ sơ phương tiện'!$E:$E),"")</f>
        <v>0</v>
      </c>
      <c r="J87" s="4" t="str">
        <f>IFERROR(_xlfn.XLOOKUP(F87,'Hồ sơ phương tiện'!$B:$B,'Hồ sơ phương tiện'!$N:$N),"")</f>
        <v>THIẾU</v>
      </c>
      <c r="K87" s="4" t="str">
        <f>IFERROR(_xlfn.XLOOKUP(F87,'Hồ sơ phương tiện'!$B:$B,'Hồ sơ phương tiện'!$X:$X),"")</f>
        <v>KHÔNG PHÙ HỢP</v>
      </c>
      <c r="L87" s="4" t="str">
        <f t="shared" si="5"/>
        <v>KHÔNG CHO PHÉP</v>
      </c>
    </row>
    <row r="88" spans="1:12" x14ac:dyDescent="0.3">
      <c r="A88" s="4">
        <f t="shared" si="4"/>
        <v>87</v>
      </c>
      <c r="E88" s="10"/>
      <c r="G88" s="4">
        <f>IFERROR(_xlfn.XLOOKUP(F88,'Hồ sơ phương tiện'!$B:$B,'Hồ sơ phương tiện'!$E:$E),"")</f>
        <v>0</v>
      </c>
      <c r="J88" s="4" t="str">
        <f>IFERROR(_xlfn.XLOOKUP(F88,'Hồ sơ phương tiện'!$B:$B,'Hồ sơ phương tiện'!$N:$N),"")</f>
        <v>THIẾU</v>
      </c>
      <c r="K88" s="4" t="str">
        <f>IFERROR(_xlfn.XLOOKUP(F88,'Hồ sơ phương tiện'!$B:$B,'Hồ sơ phương tiện'!$X:$X),"")</f>
        <v>KHÔNG PHÙ HỢP</v>
      </c>
      <c r="L88" s="4" t="str">
        <f t="shared" si="5"/>
        <v>KHÔNG CHO PHÉP</v>
      </c>
    </row>
    <row r="89" spans="1:12" x14ac:dyDescent="0.3">
      <c r="A89" s="4">
        <f t="shared" si="4"/>
        <v>88</v>
      </c>
      <c r="E89" s="10"/>
      <c r="G89" s="4">
        <f>IFERROR(_xlfn.XLOOKUP(F89,'Hồ sơ phương tiện'!$B:$B,'Hồ sơ phương tiện'!$E:$E),"")</f>
        <v>0</v>
      </c>
      <c r="J89" s="4" t="str">
        <f>IFERROR(_xlfn.XLOOKUP(F89,'Hồ sơ phương tiện'!$B:$B,'Hồ sơ phương tiện'!$N:$N),"")</f>
        <v>THIẾU</v>
      </c>
      <c r="K89" s="4" t="str">
        <f>IFERROR(_xlfn.XLOOKUP(F89,'Hồ sơ phương tiện'!$B:$B,'Hồ sơ phương tiện'!$X:$X),"")</f>
        <v>KHÔNG PHÙ HỢP</v>
      </c>
      <c r="L89" s="4" t="str">
        <f t="shared" si="5"/>
        <v>KHÔNG CHO PHÉP</v>
      </c>
    </row>
    <row r="90" spans="1:12" x14ac:dyDescent="0.3">
      <c r="A90" s="4">
        <f t="shared" si="4"/>
        <v>89</v>
      </c>
      <c r="E90" s="10"/>
      <c r="G90" s="4">
        <f>IFERROR(_xlfn.XLOOKUP(F90,'Hồ sơ phương tiện'!$B:$B,'Hồ sơ phương tiện'!$E:$E),"")</f>
        <v>0</v>
      </c>
      <c r="J90" s="4" t="str">
        <f>IFERROR(_xlfn.XLOOKUP(F90,'Hồ sơ phương tiện'!$B:$B,'Hồ sơ phương tiện'!$N:$N),"")</f>
        <v>THIẾU</v>
      </c>
      <c r="K90" s="4" t="str">
        <f>IFERROR(_xlfn.XLOOKUP(F90,'Hồ sơ phương tiện'!$B:$B,'Hồ sơ phương tiện'!$X:$X),"")</f>
        <v>KHÔNG PHÙ HỢP</v>
      </c>
      <c r="L90" s="4" t="str">
        <f t="shared" si="5"/>
        <v>KHÔNG CHO PHÉP</v>
      </c>
    </row>
    <row r="91" spans="1:12" x14ac:dyDescent="0.3">
      <c r="A91" s="4">
        <f t="shared" si="4"/>
        <v>90</v>
      </c>
      <c r="E91" s="10"/>
      <c r="G91" s="4">
        <f>IFERROR(_xlfn.XLOOKUP(F91,'Hồ sơ phương tiện'!$B:$B,'Hồ sơ phương tiện'!$E:$E),"")</f>
        <v>0</v>
      </c>
      <c r="J91" s="4" t="str">
        <f>IFERROR(_xlfn.XLOOKUP(F91,'Hồ sơ phương tiện'!$B:$B,'Hồ sơ phương tiện'!$N:$N),"")</f>
        <v>THIẾU</v>
      </c>
      <c r="K91" s="4" t="str">
        <f>IFERROR(_xlfn.XLOOKUP(F91,'Hồ sơ phương tiện'!$B:$B,'Hồ sơ phương tiện'!$X:$X),"")</f>
        <v>KHÔNG PHÙ HỢP</v>
      </c>
      <c r="L91" s="4" t="str">
        <f t="shared" si="5"/>
        <v>KHÔNG CHO PHÉP</v>
      </c>
    </row>
    <row r="92" spans="1:12" x14ac:dyDescent="0.3">
      <c r="A92" s="4">
        <f t="shared" si="4"/>
        <v>91</v>
      </c>
      <c r="E92" s="10"/>
      <c r="G92" s="4">
        <f>IFERROR(_xlfn.XLOOKUP(F92,'Hồ sơ phương tiện'!$B:$B,'Hồ sơ phương tiện'!$E:$E),"")</f>
        <v>0</v>
      </c>
      <c r="J92" s="4" t="str">
        <f>IFERROR(_xlfn.XLOOKUP(F92,'Hồ sơ phương tiện'!$B:$B,'Hồ sơ phương tiện'!$N:$N),"")</f>
        <v>THIẾU</v>
      </c>
      <c r="K92" s="4" t="str">
        <f>IFERROR(_xlfn.XLOOKUP(F92,'Hồ sơ phương tiện'!$B:$B,'Hồ sơ phương tiện'!$X:$X),"")</f>
        <v>KHÔNG PHÙ HỢP</v>
      </c>
      <c r="L92" s="4" t="str">
        <f t="shared" si="5"/>
        <v>KHÔNG CHO PHÉP</v>
      </c>
    </row>
    <row r="93" spans="1:12" x14ac:dyDescent="0.3">
      <c r="A93" s="4">
        <f t="shared" si="4"/>
        <v>92</v>
      </c>
      <c r="E93" s="10"/>
      <c r="G93" s="4">
        <f>IFERROR(_xlfn.XLOOKUP(F93,'Hồ sơ phương tiện'!$B:$B,'Hồ sơ phương tiện'!$E:$E),"")</f>
        <v>0</v>
      </c>
      <c r="J93" s="4" t="str">
        <f>IFERROR(_xlfn.XLOOKUP(F93,'Hồ sơ phương tiện'!$B:$B,'Hồ sơ phương tiện'!$N:$N),"")</f>
        <v>THIẾU</v>
      </c>
      <c r="K93" s="4" t="str">
        <f>IFERROR(_xlfn.XLOOKUP(F93,'Hồ sơ phương tiện'!$B:$B,'Hồ sơ phương tiện'!$X:$X),"")</f>
        <v>KHÔNG PHÙ HỢP</v>
      </c>
      <c r="L93" s="4" t="str">
        <f t="shared" si="5"/>
        <v>KHÔNG CHO PHÉP</v>
      </c>
    </row>
    <row r="94" spans="1:12" x14ac:dyDescent="0.3">
      <c r="A94" s="4">
        <f t="shared" si="4"/>
        <v>93</v>
      </c>
      <c r="E94" s="10"/>
      <c r="G94" s="4">
        <f>IFERROR(_xlfn.XLOOKUP(F94,'Hồ sơ phương tiện'!$B:$B,'Hồ sơ phương tiện'!$E:$E),"")</f>
        <v>0</v>
      </c>
      <c r="J94" s="4" t="str">
        <f>IFERROR(_xlfn.XLOOKUP(F94,'Hồ sơ phương tiện'!$B:$B,'Hồ sơ phương tiện'!$N:$N),"")</f>
        <v>THIẾU</v>
      </c>
      <c r="K94" s="4" t="str">
        <f>IFERROR(_xlfn.XLOOKUP(F94,'Hồ sơ phương tiện'!$B:$B,'Hồ sơ phương tiện'!$X:$X),"")</f>
        <v>KHÔNG PHÙ HỢP</v>
      </c>
      <c r="L94" s="4" t="str">
        <f t="shared" si="5"/>
        <v>KHÔNG CHO PHÉP</v>
      </c>
    </row>
    <row r="95" spans="1:12" x14ac:dyDescent="0.3">
      <c r="A95" s="4">
        <f t="shared" si="4"/>
        <v>94</v>
      </c>
      <c r="E95" s="10"/>
      <c r="G95" s="4">
        <f>IFERROR(_xlfn.XLOOKUP(F95,'Hồ sơ phương tiện'!$B:$B,'Hồ sơ phương tiện'!$E:$E),"")</f>
        <v>0</v>
      </c>
      <c r="J95" s="4" t="str">
        <f>IFERROR(_xlfn.XLOOKUP(F95,'Hồ sơ phương tiện'!$B:$B,'Hồ sơ phương tiện'!$N:$N),"")</f>
        <v>THIẾU</v>
      </c>
      <c r="K95" s="4" t="str">
        <f>IFERROR(_xlfn.XLOOKUP(F95,'Hồ sơ phương tiện'!$B:$B,'Hồ sơ phương tiện'!$X:$X),"")</f>
        <v>KHÔNG PHÙ HỢP</v>
      </c>
      <c r="L95" s="4" t="str">
        <f t="shared" si="5"/>
        <v>KHÔNG CHO PHÉP</v>
      </c>
    </row>
    <row r="96" spans="1:12" x14ac:dyDescent="0.3">
      <c r="A96" s="4">
        <f t="shared" si="4"/>
        <v>95</v>
      </c>
      <c r="E96" s="10"/>
      <c r="G96" s="4">
        <f>IFERROR(_xlfn.XLOOKUP(F96,'Hồ sơ phương tiện'!$B:$B,'Hồ sơ phương tiện'!$E:$E),"")</f>
        <v>0</v>
      </c>
      <c r="J96" s="4" t="str">
        <f>IFERROR(_xlfn.XLOOKUP(F96,'Hồ sơ phương tiện'!$B:$B,'Hồ sơ phương tiện'!$N:$N),"")</f>
        <v>THIẾU</v>
      </c>
      <c r="K96" s="4" t="str">
        <f>IFERROR(_xlfn.XLOOKUP(F96,'Hồ sơ phương tiện'!$B:$B,'Hồ sơ phương tiện'!$X:$X),"")</f>
        <v>KHÔNG PHÙ HỢP</v>
      </c>
      <c r="L96" s="4" t="str">
        <f t="shared" si="5"/>
        <v>KHÔNG CHO PHÉP</v>
      </c>
    </row>
    <row r="97" spans="1:12" x14ac:dyDescent="0.3">
      <c r="A97" s="4">
        <f t="shared" si="4"/>
        <v>96</v>
      </c>
      <c r="E97" s="10"/>
      <c r="G97" s="4">
        <f>IFERROR(_xlfn.XLOOKUP(F97,'Hồ sơ phương tiện'!$B:$B,'Hồ sơ phương tiện'!$E:$E),"")</f>
        <v>0</v>
      </c>
      <c r="J97" s="4" t="str">
        <f>IFERROR(_xlfn.XLOOKUP(F97,'Hồ sơ phương tiện'!$B:$B,'Hồ sơ phương tiện'!$N:$N),"")</f>
        <v>THIẾU</v>
      </c>
      <c r="K97" s="4" t="str">
        <f>IFERROR(_xlfn.XLOOKUP(F97,'Hồ sơ phương tiện'!$B:$B,'Hồ sơ phương tiện'!$X:$X),"")</f>
        <v>KHÔNG PHÙ HỢP</v>
      </c>
      <c r="L97" s="4" t="str">
        <f t="shared" si="5"/>
        <v>KHÔNG CHO PHÉP</v>
      </c>
    </row>
    <row r="98" spans="1:12" x14ac:dyDescent="0.3">
      <c r="A98" s="4">
        <f t="shared" si="4"/>
        <v>97</v>
      </c>
      <c r="E98" s="10"/>
      <c r="G98" s="4">
        <f>IFERROR(_xlfn.XLOOKUP(F98,'Hồ sơ phương tiện'!$B:$B,'Hồ sơ phương tiện'!$E:$E),"")</f>
        <v>0</v>
      </c>
      <c r="J98" s="4" t="str">
        <f>IFERROR(_xlfn.XLOOKUP(F98,'Hồ sơ phương tiện'!$B:$B,'Hồ sơ phương tiện'!$N:$N),"")</f>
        <v>THIẾU</v>
      </c>
      <c r="K98" s="4" t="str">
        <f>IFERROR(_xlfn.XLOOKUP(F98,'Hồ sơ phương tiện'!$B:$B,'Hồ sơ phương tiện'!$X:$X),"")</f>
        <v>KHÔNG PHÙ HỢP</v>
      </c>
      <c r="L98" s="4" t="str">
        <f t="shared" si="5"/>
        <v>KHÔNG CHO PHÉP</v>
      </c>
    </row>
    <row r="99" spans="1:12" x14ac:dyDescent="0.3">
      <c r="A99" s="4">
        <f t="shared" si="4"/>
        <v>98</v>
      </c>
      <c r="E99" s="10"/>
      <c r="G99" s="4">
        <f>IFERROR(_xlfn.XLOOKUP(F99,'Hồ sơ phương tiện'!$B:$B,'Hồ sơ phương tiện'!$E:$E),"")</f>
        <v>0</v>
      </c>
      <c r="J99" s="4" t="str">
        <f>IFERROR(_xlfn.XLOOKUP(F99,'Hồ sơ phương tiện'!$B:$B,'Hồ sơ phương tiện'!$N:$N),"")</f>
        <v>THIẾU</v>
      </c>
      <c r="K99" s="4" t="str">
        <f>IFERROR(_xlfn.XLOOKUP(F99,'Hồ sơ phương tiện'!$B:$B,'Hồ sơ phương tiện'!$X:$X),"")</f>
        <v>KHÔNG PHÙ HỢP</v>
      </c>
      <c r="L99" s="4" t="str">
        <f t="shared" si="5"/>
        <v>KHÔNG CHO PHÉP</v>
      </c>
    </row>
    <row r="100" spans="1:12" x14ac:dyDescent="0.3">
      <c r="A100" s="4">
        <f t="shared" si="4"/>
        <v>99</v>
      </c>
      <c r="E100" s="10"/>
      <c r="G100" s="4">
        <f>IFERROR(_xlfn.XLOOKUP(F100,'Hồ sơ phương tiện'!$B:$B,'Hồ sơ phương tiện'!$E:$E),"")</f>
        <v>0</v>
      </c>
      <c r="J100" s="4" t="str">
        <f>IFERROR(_xlfn.XLOOKUP(F100,'Hồ sơ phương tiện'!$B:$B,'Hồ sơ phương tiện'!$N:$N),"")</f>
        <v>THIẾU</v>
      </c>
      <c r="K100" s="4" t="str">
        <f>IFERROR(_xlfn.XLOOKUP(F100,'Hồ sơ phương tiện'!$B:$B,'Hồ sơ phương tiện'!$X:$X),"")</f>
        <v>KHÔNG PHÙ HỢP</v>
      </c>
      <c r="L100" s="4" t="str">
        <f t="shared" si="5"/>
        <v>KHÔNG CHO PHÉP</v>
      </c>
    </row>
    <row r="101" spans="1:12" x14ac:dyDescent="0.3">
      <c r="A101" s="4">
        <f t="shared" si="4"/>
        <v>100</v>
      </c>
      <c r="E101" s="10"/>
      <c r="G101" s="4">
        <f>IFERROR(_xlfn.XLOOKUP(F101,'Hồ sơ phương tiện'!$B:$B,'Hồ sơ phương tiện'!$E:$E),"")</f>
        <v>0</v>
      </c>
      <c r="J101" s="4" t="str">
        <f>IFERROR(_xlfn.XLOOKUP(F101,'Hồ sơ phương tiện'!$B:$B,'Hồ sơ phương tiện'!$N:$N),"")</f>
        <v>THIẾU</v>
      </c>
      <c r="K101" s="4" t="str">
        <f>IFERROR(_xlfn.XLOOKUP(F101,'Hồ sơ phương tiện'!$B:$B,'Hồ sơ phương tiện'!$X:$X),"")</f>
        <v>KHÔNG PHÙ HỢP</v>
      </c>
      <c r="L101" s="4" t="str">
        <f t="shared" si="5"/>
        <v>KHÔNG CHO PHÉP</v>
      </c>
    </row>
    <row r="102" spans="1:12" x14ac:dyDescent="0.3">
      <c r="A102" s="4">
        <f t="shared" si="4"/>
        <v>101</v>
      </c>
      <c r="E102" s="10"/>
      <c r="G102" s="4">
        <f>IFERROR(_xlfn.XLOOKUP(F102,'Hồ sơ phương tiện'!$B:$B,'Hồ sơ phương tiện'!$E:$E),"")</f>
        <v>0</v>
      </c>
      <c r="J102" s="4" t="str">
        <f>IFERROR(_xlfn.XLOOKUP(F102,'Hồ sơ phương tiện'!$B:$B,'Hồ sơ phương tiện'!$N:$N),"")</f>
        <v>THIẾU</v>
      </c>
      <c r="K102" s="4" t="str">
        <f>IFERROR(_xlfn.XLOOKUP(F102,'Hồ sơ phương tiện'!$B:$B,'Hồ sơ phương tiện'!$X:$X),"")</f>
        <v>KHÔNG PHÙ HỢP</v>
      </c>
      <c r="L102" s="4" t="str">
        <f t="shared" si="5"/>
        <v>KHÔNG CHO PHÉP</v>
      </c>
    </row>
    <row r="103" spans="1:12" x14ac:dyDescent="0.3">
      <c r="A103" s="4">
        <f t="shared" si="4"/>
        <v>102</v>
      </c>
      <c r="E103" s="10"/>
      <c r="G103" s="4">
        <f>IFERROR(_xlfn.XLOOKUP(F103,'Hồ sơ phương tiện'!$B:$B,'Hồ sơ phương tiện'!$E:$E),"")</f>
        <v>0</v>
      </c>
      <c r="J103" s="4" t="str">
        <f>IFERROR(_xlfn.XLOOKUP(F103,'Hồ sơ phương tiện'!$B:$B,'Hồ sơ phương tiện'!$N:$N),"")</f>
        <v>THIẾU</v>
      </c>
      <c r="K103" s="4" t="str">
        <f>IFERROR(_xlfn.XLOOKUP(F103,'Hồ sơ phương tiện'!$B:$B,'Hồ sơ phương tiện'!$X:$X),"")</f>
        <v>KHÔNG PHÙ HỢP</v>
      </c>
      <c r="L103" s="4" t="str">
        <f t="shared" si="5"/>
        <v>KHÔNG CHO PHÉP</v>
      </c>
    </row>
    <row r="104" spans="1:12" x14ac:dyDescent="0.3">
      <c r="A104" s="4">
        <f t="shared" si="4"/>
        <v>103</v>
      </c>
      <c r="E104" s="10"/>
      <c r="G104" s="4">
        <f>IFERROR(_xlfn.XLOOKUP(F104,'Hồ sơ phương tiện'!$B:$B,'Hồ sơ phương tiện'!$E:$E),"")</f>
        <v>0</v>
      </c>
      <c r="J104" s="4" t="str">
        <f>IFERROR(_xlfn.XLOOKUP(F104,'Hồ sơ phương tiện'!$B:$B,'Hồ sơ phương tiện'!$N:$N),"")</f>
        <v>THIẾU</v>
      </c>
      <c r="K104" s="4" t="str">
        <f>IFERROR(_xlfn.XLOOKUP(F104,'Hồ sơ phương tiện'!$B:$B,'Hồ sơ phương tiện'!$X:$X),"")</f>
        <v>KHÔNG PHÙ HỢP</v>
      </c>
      <c r="L104" s="4" t="str">
        <f t="shared" si="5"/>
        <v>KHÔNG CHO PHÉP</v>
      </c>
    </row>
    <row r="105" spans="1:12" x14ac:dyDescent="0.3">
      <c r="A105" s="4">
        <f t="shared" si="4"/>
        <v>104</v>
      </c>
      <c r="E105" s="10"/>
      <c r="G105" s="4">
        <f>IFERROR(_xlfn.XLOOKUP(F105,'Hồ sơ phương tiện'!$B:$B,'Hồ sơ phương tiện'!$E:$E),"")</f>
        <v>0</v>
      </c>
      <c r="J105" s="4" t="str">
        <f>IFERROR(_xlfn.XLOOKUP(F105,'Hồ sơ phương tiện'!$B:$B,'Hồ sơ phương tiện'!$N:$N),"")</f>
        <v>THIẾU</v>
      </c>
      <c r="K105" s="4" t="str">
        <f>IFERROR(_xlfn.XLOOKUP(F105,'Hồ sơ phương tiện'!$B:$B,'Hồ sơ phương tiện'!$X:$X),"")</f>
        <v>KHÔNG PHÙ HỢP</v>
      </c>
      <c r="L105" s="4" t="str">
        <f t="shared" si="5"/>
        <v>KHÔNG CHO PHÉP</v>
      </c>
    </row>
    <row r="106" spans="1:12" x14ac:dyDescent="0.3">
      <c r="A106" s="4">
        <f t="shared" si="4"/>
        <v>105</v>
      </c>
      <c r="E106" s="10"/>
      <c r="G106" s="4">
        <f>IFERROR(_xlfn.XLOOKUP(F106,'Hồ sơ phương tiện'!$B:$B,'Hồ sơ phương tiện'!$E:$E),"")</f>
        <v>0</v>
      </c>
      <c r="J106" s="4" t="str">
        <f>IFERROR(_xlfn.XLOOKUP(F106,'Hồ sơ phương tiện'!$B:$B,'Hồ sơ phương tiện'!$N:$N),"")</f>
        <v>THIẾU</v>
      </c>
      <c r="K106" s="4" t="str">
        <f>IFERROR(_xlfn.XLOOKUP(F106,'Hồ sơ phương tiện'!$B:$B,'Hồ sơ phương tiện'!$X:$X),"")</f>
        <v>KHÔNG PHÙ HỢP</v>
      </c>
      <c r="L106" s="4" t="str">
        <f t="shared" si="5"/>
        <v>KHÔNG CHO PHÉP</v>
      </c>
    </row>
    <row r="107" spans="1:12" x14ac:dyDescent="0.3">
      <c r="A107" s="4">
        <f t="shared" si="4"/>
        <v>106</v>
      </c>
      <c r="E107" s="10"/>
      <c r="G107" s="4">
        <f>IFERROR(_xlfn.XLOOKUP(F107,'Hồ sơ phương tiện'!$B:$B,'Hồ sơ phương tiện'!$E:$E),"")</f>
        <v>0</v>
      </c>
      <c r="J107" s="4" t="str">
        <f>IFERROR(_xlfn.XLOOKUP(F107,'Hồ sơ phương tiện'!$B:$B,'Hồ sơ phương tiện'!$N:$N),"")</f>
        <v>THIẾU</v>
      </c>
      <c r="K107" s="4" t="str">
        <f>IFERROR(_xlfn.XLOOKUP(F107,'Hồ sơ phương tiện'!$B:$B,'Hồ sơ phương tiện'!$X:$X),"")</f>
        <v>KHÔNG PHÙ HỢP</v>
      </c>
      <c r="L107" s="4" t="str">
        <f t="shared" si="5"/>
        <v>KHÔNG CHO PHÉP</v>
      </c>
    </row>
    <row r="108" spans="1:12" x14ac:dyDescent="0.3">
      <c r="A108" s="4">
        <f t="shared" si="4"/>
        <v>107</v>
      </c>
      <c r="E108" s="10"/>
      <c r="G108" s="4">
        <f>IFERROR(_xlfn.XLOOKUP(F108,'Hồ sơ phương tiện'!$B:$B,'Hồ sơ phương tiện'!$E:$E),"")</f>
        <v>0</v>
      </c>
      <c r="J108" s="4" t="str">
        <f>IFERROR(_xlfn.XLOOKUP(F108,'Hồ sơ phương tiện'!$B:$B,'Hồ sơ phương tiện'!$N:$N),"")</f>
        <v>THIẾU</v>
      </c>
      <c r="K108" s="4" t="str">
        <f>IFERROR(_xlfn.XLOOKUP(F108,'Hồ sơ phương tiện'!$B:$B,'Hồ sơ phương tiện'!$X:$X),"")</f>
        <v>KHÔNG PHÙ HỢP</v>
      </c>
      <c r="L108" s="4" t="str">
        <f t="shared" si="5"/>
        <v>KHÔNG CHO PHÉP</v>
      </c>
    </row>
    <row r="109" spans="1:12" x14ac:dyDescent="0.3">
      <c r="A109" s="4">
        <f t="shared" si="4"/>
        <v>108</v>
      </c>
      <c r="E109" s="10"/>
      <c r="G109" s="4">
        <f>IFERROR(_xlfn.XLOOKUP(F109,'Hồ sơ phương tiện'!$B:$B,'Hồ sơ phương tiện'!$E:$E),"")</f>
        <v>0</v>
      </c>
      <c r="J109" s="4" t="str">
        <f>IFERROR(_xlfn.XLOOKUP(F109,'Hồ sơ phương tiện'!$B:$B,'Hồ sơ phương tiện'!$N:$N),"")</f>
        <v>THIẾU</v>
      </c>
      <c r="K109" s="4" t="str">
        <f>IFERROR(_xlfn.XLOOKUP(F109,'Hồ sơ phương tiện'!$B:$B,'Hồ sơ phương tiện'!$X:$X),"")</f>
        <v>KHÔNG PHÙ HỢP</v>
      </c>
      <c r="L109" s="4" t="str">
        <f t="shared" si="5"/>
        <v>KHÔNG CHO PHÉP</v>
      </c>
    </row>
    <row r="110" spans="1:12" x14ac:dyDescent="0.3">
      <c r="A110" s="4">
        <f t="shared" si="4"/>
        <v>109</v>
      </c>
      <c r="E110" s="10"/>
      <c r="G110" s="4">
        <f>IFERROR(_xlfn.XLOOKUP(F110,'Hồ sơ phương tiện'!$B:$B,'Hồ sơ phương tiện'!$E:$E),"")</f>
        <v>0</v>
      </c>
      <c r="J110" s="4" t="str">
        <f>IFERROR(_xlfn.XLOOKUP(F110,'Hồ sơ phương tiện'!$B:$B,'Hồ sơ phương tiện'!$N:$N),"")</f>
        <v>THIẾU</v>
      </c>
      <c r="K110" s="4" t="str">
        <f>IFERROR(_xlfn.XLOOKUP(F110,'Hồ sơ phương tiện'!$B:$B,'Hồ sơ phương tiện'!$X:$X),"")</f>
        <v>KHÔNG PHÙ HỢP</v>
      </c>
      <c r="L110" s="4" t="str">
        <f t="shared" si="5"/>
        <v>KHÔNG CHO PHÉP</v>
      </c>
    </row>
    <row r="111" spans="1:12" x14ac:dyDescent="0.3">
      <c r="A111" s="4">
        <f t="shared" si="4"/>
        <v>110</v>
      </c>
      <c r="E111" s="10"/>
      <c r="G111" s="4">
        <f>IFERROR(_xlfn.XLOOKUP(F111,'Hồ sơ phương tiện'!$B:$B,'Hồ sơ phương tiện'!$E:$E),"")</f>
        <v>0</v>
      </c>
      <c r="J111" s="4" t="str">
        <f>IFERROR(_xlfn.XLOOKUP(F111,'Hồ sơ phương tiện'!$B:$B,'Hồ sơ phương tiện'!$N:$N),"")</f>
        <v>THIẾU</v>
      </c>
      <c r="K111" s="4" t="str">
        <f>IFERROR(_xlfn.XLOOKUP(F111,'Hồ sơ phương tiện'!$B:$B,'Hồ sơ phương tiện'!$X:$X),"")</f>
        <v>KHÔNG PHÙ HỢP</v>
      </c>
      <c r="L111" s="4" t="str">
        <f t="shared" si="5"/>
        <v>KHÔNG CHO PHÉP</v>
      </c>
    </row>
    <row r="112" spans="1:12" x14ac:dyDescent="0.3">
      <c r="A112" s="4">
        <f t="shared" si="4"/>
        <v>111</v>
      </c>
      <c r="G112" s="4">
        <f>IFERROR(_xlfn.XLOOKUP(F112,'Hồ sơ phương tiện'!$B:$B,'Hồ sơ phương tiện'!$E:$E),"")</f>
        <v>0</v>
      </c>
      <c r="J112" s="4" t="str">
        <f>IFERROR(_xlfn.XLOOKUP(F112,'Hồ sơ phương tiện'!$B:$B,'Hồ sơ phương tiện'!$N:$N),"")</f>
        <v>THIẾU</v>
      </c>
      <c r="K112" s="4" t="str">
        <f>IFERROR(_xlfn.XLOOKUP(F112,'Hồ sơ phương tiện'!$B:$B,'Hồ sơ phương tiện'!$X:$X),"")</f>
        <v>KHÔNG PHÙ HỢP</v>
      </c>
      <c r="L112" s="4" t="str">
        <f t="shared" si="5"/>
        <v>KHÔNG CHO PHÉP</v>
      </c>
    </row>
    <row r="113" spans="1:12" x14ac:dyDescent="0.3">
      <c r="A113" s="4">
        <f t="shared" si="4"/>
        <v>112</v>
      </c>
      <c r="G113" s="4">
        <f>IFERROR(_xlfn.XLOOKUP(F113,'Hồ sơ phương tiện'!$B:$B,'Hồ sơ phương tiện'!$E:$E),"")</f>
        <v>0</v>
      </c>
      <c r="J113" s="4" t="str">
        <f>IFERROR(_xlfn.XLOOKUP(F113,'Hồ sơ phương tiện'!$B:$B,'Hồ sơ phương tiện'!$N:$N),"")</f>
        <v>THIẾU</v>
      </c>
      <c r="K113" s="4" t="str">
        <f>IFERROR(_xlfn.XLOOKUP(F113,'Hồ sơ phương tiện'!$B:$B,'Hồ sơ phương tiện'!$X:$X),"")</f>
        <v>KHÔNG PHÙ HỢP</v>
      </c>
      <c r="L113" s="4" t="str">
        <f t="shared" si="5"/>
        <v>KHÔNG CHO PHÉP</v>
      </c>
    </row>
    <row r="114" spans="1:12" x14ac:dyDescent="0.3">
      <c r="A114" s="4">
        <f t="shared" si="4"/>
        <v>113</v>
      </c>
      <c r="G114" s="4">
        <f>IFERROR(_xlfn.XLOOKUP(F114,'Hồ sơ phương tiện'!$B:$B,'Hồ sơ phương tiện'!$E:$E),"")</f>
        <v>0</v>
      </c>
      <c r="J114" s="4" t="str">
        <f>IFERROR(_xlfn.XLOOKUP(F114,'Hồ sơ phương tiện'!$B:$B,'Hồ sơ phương tiện'!$N:$N),"")</f>
        <v>THIẾU</v>
      </c>
      <c r="K114" s="4" t="str">
        <f>IFERROR(_xlfn.XLOOKUP(F114,'Hồ sơ phương tiện'!$B:$B,'Hồ sơ phương tiện'!$X:$X),"")</f>
        <v>KHÔNG PHÙ HỢP</v>
      </c>
      <c r="L114" s="4" t="str">
        <f t="shared" si="5"/>
        <v>KHÔNG CHO PHÉP</v>
      </c>
    </row>
    <row r="115" spans="1:12" x14ac:dyDescent="0.3">
      <c r="A115" s="4">
        <f t="shared" si="4"/>
        <v>114</v>
      </c>
      <c r="G115" s="4">
        <f>IFERROR(_xlfn.XLOOKUP(F115,'Hồ sơ phương tiện'!$B:$B,'Hồ sơ phương tiện'!$E:$E),"")</f>
        <v>0</v>
      </c>
      <c r="J115" s="4" t="str">
        <f>IFERROR(_xlfn.XLOOKUP(F115,'Hồ sơ phương tiện'!$B:$B,'Hồ sơ phương tiện'!$N:$N),"")</f>
        <v>THIẾU</v>
      </c>
      <c r="K115" s="4" t="str">
        <f>IFERROR(_xlfn.XLOOKUP(F115,'Hồ sơ phương tiện'!$B:$B,'Hồ sơ phương tiện'!$X:$X),"")</f>
        <v>KHÔNG PHÙ HỢP</v>
      </c>
      <c r="L115" s="4" t="str">
        <f t="shared" si="5"/>
        <v>KHÔNG CHO PHÉP</v>
      </c>
    </row>
    <row r="116" spans="1:12" x14ac:dyDescent="0.3">
      <c r="A116" s="4">
        <f t="shared" si="4"/>
        <v>115</v>
      </c>
      <c r="G116" s="4">
        <f>IFERROR(_xlfn.XLOOKUP(F116,'Hồ sơ phương tiện'!$B:$B,'Hồ sơ phương tiện'!$E:$E),"")</f>
        <v>0</v>
      </c>
      <c r="J116" s="4" t="str">
        <f>IFERROR(_xlfn.XLOOKUP(F116,'Hồ sơ phương tiện'!$B:$B,'Hồ sơ phương tiện'!$N:$N),"")</f>
        <v>THIẾU</v>
      </c>
      <c r="K116" s="4" t="str">
        <f>IFERROR(_xlfn.XLOOKUP(F116,'Hồ sơ phương tiện'!$B:$B,'Hồ sơ phương tiện'!$X:$X),"")</f>
        <v>KHÔNG PHÙ HỢP</v>
      </c>
      <c r="L116" s="4" t="str">
        <f t="shared" si="5"/>
        <v>KHÔNG CHO PHÉP</v>
      </c>
    </row>
    <row r="117" spans="1:12" x14ac:dyDescent="0.3">
      <c r="A117" s="4">
        <f t="shared" si="4"/>
        <v>116</v>
      </c>
      <c r="G117" s="4">
        <f>IFERROR(_xlfn.XLOOKUP(F117,'Hồ sơ phương tiện'!$B:$B,'Hồ sơ phương tiện'!$E:$E),"")</f>
        <v>0</v>
      </c>
      <c r="J117" s="4" t="str">
        <f>IFERROR(_xlfn.XLOOKUP(F117,'Hồ sơ phương tiện'!$B:$B,'Hồ sơ phương tiện'!$N:$N),"")</f>
        <v>THIẾU</v>
      </c>
      <c r="K117" s="4" t="str">
        <f>IFERROR(_xlfn.XLOOKUP(F117,'Hồ sơ phương tiện'!$B:$B,'Hồ sơ phương tiện'!$X:$X),"")</f>
        <v>KHÔNG PHÙ HỢP</v>
      </c>
      <c r="L117" s="4" t="str">
        <f t="shared" si="5"/>
        <v>KHÔNG CHO PHÉP</v>
      </c>
    </row>
    <row r="118" spans="1:12" x14ac:dyDescent="0.3">
      <c r="A118" s="4">
        <f t="shared" si="4"/>
        <v>117</v>
      </c>
      <c r="G118" s="4">
        <f>IFERROR(_xlfn.XLOOKUP(F118,'Hồ sơ phương tiện'!$B:$B,'Hồ sơ phương tiện'!$E:$E),"")</f>
        <v>0</v>
      </c>
      <c r="J118" s="4" t="str">
        <f>IFERROR(_xlfn.XLOOKUP(F118,'Hồ sơ phương tiện'!$B:$B,'Hồ sơ phương tiện'!$N:$N),"")</f>
        <v>THIẾU</v>
      </c>
      <c r="K118" s="4" t="str">
        <f>IFERROR(_xlfn.XLOOKUP(F118,'Hồ sơ phương tiện'!$B:$B,'Hồ sơ phương tiện'!$X:$X),"")</f>
        <v>KHÔNG PHÙ HỢP</v>
      </c>
      <c r="L118" s="4" t="str">
        <f t="shared" si="5"/>
        <v>KHÔNG CHO PHÉP</v>
      </c>
    </row>
    <row r="119" spans="1:12" x14ac:dyDescent="0.3">
      <c r="A119" s="4">
        <f t="shared" si="4"/>
        <v>118</v>
      </c>
      <c r="G119" s="4">
        <f>IFERROR(_xlfn.XLOOKUP(F119,'Hồ sơ phương tiện'!$B:$B,'Hồ sơ phương tiện'!$E:$E),"")</f>
        <v>0</v>
      </c>
      <c r="J119" s="4" t="str">
        <f>IFERROR(_xlfn.XLOOKUP(F119,'Hồ sơ phương tiện'!$B:$B,'Hồ sơ phương tiện'!$N:$N),"")</f>
        <v>THIẾU</v>
      </c>
      <c r="K119" s="4" t="str">
        <f>IFERROR(_xlfn.XLOOKUP(F119,'Hồ sơ phương tiện'!$B:$B,'Hồ sơ phương tiện'!$X:$X),"")</f>
        <v>KHÔNG PHÙ HỢP</v>
      </c>
      <c r="L119" s="4" t="str">
        <f t="shared" si="5"/>
        <v>KHÔNG CHO PHÉP</v>
      </c>
    </row>
    <row r="120" spans="1:12" x14ac:dyDescent="0.3">
      <c r="A120" s="4">
        <f t="shared" si="4"/>
        <v>119</v>
      </c>
      <c r="G120" s="4">
        <f>IFERROR(_xlfn.XLOOKUP(F120,'Hồ sơ phương tiện'!$B:$B,'Hồ sơ phương tiện'!$E:$E),"")</f>
        <v>0</v>
      </c>
      <c r="J120" s="4" t="str">
        <f>IFERROR(_xlfn.XLOOKUP(F120,'Hồ sơ phương tiện'!$B:$B,'Hồ sơ phương tiện'!$N:$N),"")</f>
        <v>THIẾU</v>
      </c>
      <c r="K120" s="4" t="str">
        <f>IFERROR(_xlfn.XLOOKUP(F120,'Hồ sơ phương tiện'!$B:$B,'Hồ sơ phương tiện'!$X:$X),"")</f>
        <v>KHÔNG PHÙ HỢP</v>
      </c>
      <c r="L120" s="4" t="str">
        <f t="shared" si="5"/>
        <v>KHÔNG CHO PHÉP</v>
      </c>
    </row>
    <row r="121" spans="1:12" x14ac:dyDescent="0.3">
      <c r="A121" s="4">
        <f t="shared" si="4"/>
        <v>120</v>
      </c>
      <c r="G121" s="4">
        <f>IFERROR(_xlfn.XLOOKUP(F121,'Hồ sơ phương tiện'!$B:$B,'Hồ sơ phương tiện'!$E:$E),"")</f>
        <v>0</v>
      </c>
      <c r="J121" s="4" t="str">
        <f>IFERROR(_xlfn.XLOOKUP(F121,'Hồ sơ phương tiện'!$B:$B,'Hồ sơ phương tiện'!$N:$N),"")</f>
        <v>THIẾU</v>
      </c>
      <c r="K121" s="4" t="str">
        <f>IFERROR(_xlfn.XLOOKUP(F121,'Hồ sơ phương tiện'!$B:$B,'Hồ sơ phương tiện'!$X:$X),"")</f>
        <v>KHÔNG PHÙ HỢP</v>
      </c>
      <c r="L121" s="4" t="str">
        <f t="shared" si="5"/>
        <v>KHÔNG CHO PHÉP</v>
      </c>
    </row>
    <row r="122" spans="1:12" x14ac:dyDescent="0.3">
      <c r="A122" s="4">
        <f t="shared" si="4"/>
        <v>121</v>
      </c>
      <c r="G122" s="4">
        <f>IFERROR(_xlfn.XLOOKUP(F122,'Hồ sơ phương tiện'!$B:$B,'Hồ sơ phương tiện'!$E:$E),"")</f>
        <v>0</v>
      </c>
      <c r="J122" s="4" t="str">
        <f>IFERROR(_xlfn.XLOOKUP(F122,'Hồ sơ phương tiện'!$B:$B,'Hồ sơ phương tiện'!$N:$N),"")</f>
        <v>THIẾU</v>
      </c>
      <c r="K122" s="4" t="str">
        <f>IFERROR(_xlfn.XLOOKUP(F122,'Hồ sơ phương tiện'!$B:$B,'Hồ sơ phương tiện'!$X:$X),"")</f>
        <v>KHÔNG PHÙ HỢP</v>
      </c>
      <c r="L122" s="4" t="str">
        <f t="shared" si="5"/>
        <v>KHÔNG CHO PHÉP</v>
      </c>
    </row>
    <row r="123" spans="1:12" x14ac:dyDescent="0.3">
      <c r="A123" s="4">
        <f t="shared" si="4"/>
        <v>122</v>
      </c>
      <c r="G123" s="4">
        <f>IFERROR(_xlfn.XLOOKUP(F123,'Hồ sơ phương tiện'!$B:$B,'Hồ sơ phương tiện'!$E:$E),"")</f>
        <v>0</v>
      </c>
      <c r="J123" s="4" t="str">
        <f>IFERROR(_xlfn.XLOOKUP(F123,'Hồ sơ phương tiện'!$B:$B,'Hồ sơ phương tiện'!$N:$N),"")</f>
        <v>THIẾU</v>
      </c>
      <c r="K123" s="4" t="str">
        <f>IFERROR(_xlfn.XLOOKUP(F123,'Hồ sơ phương tiện'!$B:$B,'Hồ sơ phương tiện'!$X:$X),"")</f>
        <v>KHÔNG PHÙ HỢP</v>
      </c>
      <c r="L123" s="4" t="str">
        <f t="shared" si="5"/>
        <v>KHÔNG CHO PHÉP</v>
      </c>
    </row>
    <row r="124" spans="1:12" x14ac:dyDescent="0.3">
      <c r="A124" s="4">
        <f t="shared" si="4"/>
        <v>123</v>
      </c>
      <c r="G124" s="4">
        <f>IFERROR(_xlfn.XLOOKUP(F124,'Hồ sơ phương tiện'!$B:$B,'Hồ sơ phương tiện'!$E:$E),"")</f>
        <v>0</v>
      </c>
      <c r="J124" s="4" t="str">
        <f>IFERROR(_xlfn.XLOOKUP(F124,'Hồ sơ phương tiện'!$B:$B,'Hồ sơ phương tiện'!$N:$N),"")</f>
        <v>THIẾU</v>
      </c>
      <c r="K124" s="4" t="str">
        <f>IFERROR(_xlfn.XLOOKUP(F124,'Hồ sơ phương tiện'!$B:$B,'Hồ sơ phương tiện'!$X:$X),"")</f>
        <v>KHÔNG PHÙ HỢP</v>
      </c>
      <c r="L124" s="4" t="str">
        <f t="shared" si="5"/>
        <v>KHÔNG CHO PHÉP</v>
      </c>
    </row>
    <row r="125" spans="1:12" x14ac:dyDescent="0.3">
      <c r="A125" s="4">
        <f t="shared" si="4"/>
        <v>124</v>
      </c>
      <c r="G125" s="4">
        <f>IFERROR(_xlfn.XLOOKUP(F125,'Hồ sơ phương tiện'!$B:$B,'Hồ sơ phương tiện'!$E:$E),"")</f>
        <v>0</v>
      </c>
      <c r="J125" s="4" t="str">
        <f>IFERROR(_xlfn.XLOOKUP(F125,'Hồ sơ phương tiện'!$B:$B,'Hồ sơ phương tiện'!$N:$N),"")</f>
        <v>THIẾU</v>
      </c>
      <c r="K125" s="4" t="str">
        <f>IFERROR(_xlfn.XLOOKUP(F125,'Hồ sơ phương tiện'!$B:$B,'Hồ sơ phương tiện'!$X:$X),"")</f>
        <v>KHÔNG PHÙ HỢP</v>
      </c>
      <c r="L125" s="4" t="str">
        <f t="shared" si="5"/>
        <v>KHÔNG CHO PHÉP</v>
      </c>
    </row>
    <row r="126" spans="1:12" x14ac:dyDescent="0.3">
      <c r="A126" s="4">
        <f t="shared" si="4"/>
        <v>125</v>
      </c>
      <c r="G126" s="4">
        <f>IFERROR(_xlfn.XLOOKUP(F126,'Hồ sơ phương tiện'!$B:$B,'Hồ sơ phương tiện'!$E:$E),"")</f>
        <v>0</v>
      </c>
      <c r="J126" s="4" t="str">
        <f>IFERROR(_xlfn.XLOOKUP(F126,'Hồ sơ phương tiện'!$B:$B,'Hồ sơ phương tiện'!$N:$N),"")</f>
        <v>THIẾU</v>
      </c>
      <c r="K126" s="4" t="str">
        <f>IFERROR(_xlfn.XLOOKUP(F126,'Hồ sơ phương tiện'!$B:$B,'Hồ sơ phương tiện'!$X:$X),"")</f>
        <v>KHÔNG PHÙ HỢP</v>
      </c>
      <c r="L126" s="4" t="str">
        <f t="shared" si="5"/>
        <v>KHÔNG CHO PHÉP</v>
      </c>
    </row>
    <row r="127" spans="1:12" x14ac:dyDescent="0.3">
      <c r="A127" s="4">
        <f t="shared" si="4"/>
        <v>126</v>
      </c>
      <c r="G127" s="4">
        <f>IFERROR(_xlfn.XLOOKUP(F127,'Hồ sơ phương tiện'!$B:$B,'Hồ sơ phương tiện'!$E:$E),"")</f>
        <v>0</v>
      </c>
      <c r="J127" s="4" t="str">
        <f>IFERROR(_xlfn.XLOOKUP(F127,'Hồ sơ phương tiện'!$B:$B,'Hồ sơ phương tiện'!$N:$N),"")</f>
        <v>THIẾU</v>
      </c>
      <c r="K127" s="4" t="str">
        <f>IFERROR(_xlfn.XLOOKUP(F127,'Hồ sơ phương tiện'!$B:$B,'Hồ sơ phương tiện'!$X:$X),"")</f>
        <v>KHÔNG PHÙ HỢP</v>
      </c>
      <c r="L127" s="4" t="str">
        <f t="shared" si="5"/>
        <v>KHÔNG CHO PHÉP</v>
      </c>
    </row>
    <row r="128" spans="1:12" x14ac:dyDescent="0.3">
      <c r="A128" s="4">
        <f t="shared" si="4"/>
        <v>127</v>
      </c>
      <c r="G128" s="4">
        <f>IFERROR(_xlfn.XLOOKUP(F128,'Hồ sơ phương tiện'!$B:$B,'Hồ sơ phương tiện'!$E:$E),"")</f>
        <v>0</v>
      </c>
      <c r="J128" s="4" t="str">
        <f>IFERROR(_xlfn.XLOOKUP(F128,'Hồ sơ phương tiện'!$B:$B,'Hồ sơ phương tiện'!$N:$N),"")</f>
        <v>THIẾU</v>
      </c>
      <c r="K128" s="4" t="str">
        <f>IFERROR(_xlfn.XLOOKUP(F128,'Hồ sơ phương tiện'!$B:$B,'Hồ sơ phương tiện'!$X:$X),"")</f>
        <v>KHÔNG PHÙ HỢP</v>
      </c>
      <c r="L128" s="4" t="str">
        <f t="shared" si="5"/>
        <v>KHÔNG CHO PHÉP</v>
      </c>
    </row>
    <row r="129" spans="1:12" x14ac:dyDescent="0.3">
      <c r="A129" s="4">
        <f t="shared" si="4"/>
        <v>128</v>
      </c>
      <c r="G129" s="4">
        <f>IFERROR(_xlfn.XLOOKUP(F129,'Hồ sơ phương tiện'!$B:$B,'Hồ sơ phương tiện'!$E:$E),"")</f>
        <v>0</v>
      </c>
      <c r="J129" s="4" t="str">
        <f>IFERROR(_xlfn.XLOOKUP(F129,'Hồ sơ phương tiện'!$B:$B,'Hồ sơ phương tiện'!$N:$N),"")</f>
        <v>THIẾU</v>
      </c>
      <c r="K129" s="4" t="str">
        <f>IFERROR(_xlfn.XLOOKUP(F129,'Hồ sơ phương tiện'!$B:$B,'Hồ sơ phương tiện'!$X:$X),"")</f>
        <v>KHÔNG PHÙ HỢP</v>
      </c>
      <c r="L129" s="4" t="str">
        <f t="shared" si="5"/>
        <v>KHÔNG CHO PHÉP</v>
      </c>
    </row>
    <row r="130" spans="1:12" x14ac:dyDescent="0.3">
      <c r="A130" s="4">
        <f t="shared" ref="A130:A193" si="6">ROW()-1</f>
        <v>129</v>
      </c>
      <c r="G130" s="4">
        <f>IFERROR(_xlfn.XLOOKUP(F130,'Hồ sơ phương tiện'!$B:$B,'Hồ sơ phương tiện'!$E:$E),"")</f>
        <v>0</v>
      </c>
      <c r="J130" s="4" t="str">
        <f>IFERROR(_xlfn.XLOOKUP(F130,'Hồ sơ phương tiện'!$B:$B,'Hồ sơ phương tiện'!$N:$N),"")</f>
        <v>THIẾU</v>
      </c>
      <c r="K130" s="4" t="str">
        <f>IFERROR(_xlfn.XLOOKUP(F130,'Hồ sơ phương tiện'!$B:$B,'Hồ sơ phương tiện'!$X:$X),"")</f>
        <v>KHÔNG PHÙ HỢP</v>
      </c>
      <c r="L130" s="4" t="str">
        <f t="shared" si="5"/>
        <v>KHÔNG CHO PHÉP</v>
      </c>
    </row>
    <row r="131" spans="1:12" x14ac:dyDescent="0.3">
      <c r="A131" s="4">
        <f t="shared" si="6"/>
        <v>130</v>
      </c>
      <c r="G131" s="4">
        <f>IFERROR(_xlfn.XLOOKUP(F131,'Hồ sơ phương tiện'!$B:$B,'Hồ sơ phương tiện'!$E:$E),"")</f>
        <v>0</v>
      </c>
      <c r="J131" s="4" t="str">
        <f>IFERROR(_xlfn.XLOOKUP(F131,'Hồ sơ phương tiện'!$B:$B,'Hồ sơ phương tiện'!$N:$N),"")</f>
        <v>THIẾU</v>
      </c>
      <c r="K131" s="4" t="str">
        <f>IFERROR(_xlfn.XLOOKUP(F131,'Hồ sơ phương tiện'!$B:$B,'Hồ sơ phương tiện'!$X:$X),"")</f>
        <v>KHÔNG PHÙ HỢP</v>
      </c>
      <c r="L131" s="4" t="str">
        <f t="shared" si="5"/>
        <v>KHÔNG CHO PHÉP</v>
      </c>
    </row>
    <row r="132" spans="1:12" x14ac:dyDescent="0.3">
      <c r="A132" s="4">
        <f t="shared" si="6"/>
        <v>131</v>
      </c>
      <c r="G132" s="4">
        <f>IFERROR(_xlfn.XLOOKUP(F132,'Hồ sơ phương tiện'!$B:$B,'Hồ sơ phương tiện'!$E:$E),"")</f>
        <v>0</v>
      </c>
      <c r="J132" s="4" t="str">
        <f>IFERROR(_xlfn.XLOOKUP(F132,'Hồ sơ phương tiện'!$B:$B,'Hồ sơ phương tiện'!$N:$N),"")</f>
        <v>THIẾU</v>
      </c>
      <c r="K132" s="4" t="str">
        <f>IFERROR(_xlfn.XLOOKUP(F132,'Hồ sơ phương tiện'!$B:$B,'Hồ sơ phương tiện'!$X:$X),"")</f>
        <v>KHÔNG PHÙ HỢP</v>
      </c>
      <c r="L132" s="4" t="str">
        <f t="shared" si="5"/>
        <v>KHÔNG CHO PHÉP</v>
      </c>
    </row>
    <row r="133" spans="1:12" x14ac:dyDescent="0.3">
      <c r="A133" s="4">
        <f t="shared" si="6"/>
        <v>132</v>
      </c>
      <c r="G133" s="4">
        <f>IFERROR(_xlfn.XLOOKUP(F133,'Hồ sơ phương tiện'!$B:$B,'Hồ sơ phương tiện'!$E:$E),"")</f>
        <v>0</v>
      </c>
      <c r="J133" s="4" t="str">
        <f>IFERROR(_xlfn.XLOOKUP(F133,'Hồ sơ phương tiện'!$B:$B,'Hồ sơ phương tiện'!$N:$N),"")</f>
        <v>THIẾU</v>
      </c>
      <c r="K133" s="4" t="str">
        <f>IFERROR(_xlfn.XLOOKUP(F133,'Hồ sơ phương tiện'!$B:$B,'Hồ sơ phương tiện'!$X:$X),"")</f>
        <v>KHÔNG PHÙ HỢP</v>
      </c>
      <c r="L133" s="4" t="str">
        <f t="shared" ref="L133:L196" si="7">IF(AND(J133="Đủ",K133="PHÙ HỢP"),"CHO PHÉP","KHÔNG CHO PHÉP")</f>
        <v>KHÔNG CHO PHÉP</v>
      </c>
    </row>
    <row r="134" spans="1:12" x14ac:dyDescent="0.3">
      <c r="A134" s="4">
        <f t="shared" si="6"/>
        <v>133</v>
      </c>
      <c r="G134" s="4">
        <f>IFERROR(_xlfn.XLOOKUP(F134,'Hồ sơ phương tiện'!$B:$B,'Hồ sơ phương tiện'!$E:$E),"")</f>
        <v>0</v>
      </c>
      <c r="J134" s="4" t="str">
        <f>IFERROR(_xlfn.XLOOKUP(F134,'Hồ sơ phương tiện'!$B:$B,'Hồ sơ phương tiện'!$N:$N),"")</f>
        <v>THIẾU</v>
      </c>
      <c r="K134" s="4" t="str">
        <f>IFERROR(_xlfn.XLOOKUP(F134,'Hồ sơ phương tiện'!$B:$B,'Hồ sơ phương tiện'!$X:$X),"")</f>
        <v>KHÔNG PHÙ HỢP</v>
      </c>
      <c r="L134" s="4" t="str">
        <f t="shared" si="7"/>
        <v>KHÔNG CHO PHÉP</v>
      </c>
    </row>
    <row r="135" spans="1:12" x14ac:dyDescent="0.3">
      <c r="A135" s="4">
        <f t="shared" si="6"/>
        <v>134</v>
      </c>
      <c r="G135" s="4">
        <f>IFERROR(_xlfn.XLOOKUP(F135,'Hồ sơ phương tiện'!$B:$B,'Hồ sơ phương tiện'!$E:$E),"")</f>
        <v>0</v>
      </c>
      <c r="J135" s="4" t="str">
        <f>IFERROR(_xlfn.XLOOKUP(F135,'Hồ sơ phương tiện'!$B:$B,'Hồ sơ phương tiện'!$N:$N),"")</f>
        <v>THIẾU</v>
      </c>
      <c r="K135" s="4" t="str">
        <f>IFERROR(_xlfn.XLOOKUP(F135,'Hồ sơ phương tiện'!$B:$B,'Hồ sơ phương tiện'!$X:$X),"")</f>
        <v>KHÔNG PHÙ HỢP</v>
      </c>
      <c r="L135" s="4" t="str">
        <f t="shared" si="7"/>
        <v>KHÔNG CHO PHÉP</v>
      </c>
    </row>
    <row r="136" spans="1:12" x14ac:dyDescent="0.3">
      <c r="A136" s="4">
        <f t="shared" si="6"/>
        <v>135</v>
      </c>
      <c r="G136" s="4">
        <f>IFERROR(_xlfn.XLOOKUP(F136,'Hồ sơ phương tiện'!$B:$B,'Hồ sơ phương tiện'!$E:$E),"")</f>
        <v>0</v>
      </c>
      <c r="J136" s="4" t="str">
        <f>IFERROR(_xlfn.XLOOKUP(F136,'Hồ sơ phương tiện'!$B:$B,'Hồ sơ phương tiện'!$N:$N),"")</f>
        <v>THIẾU</v>
      </c>
      <c r="K136" s="4" t="str">
        <f>IFERROR(_xlfn.XLOOKUP(F136,'Hồ sơ phương tiện'!$B:$B,'Hồ sơ phương tiện'!$X:$X),"")</f>
        <v>KHÔNG PHÙ HỢP</v>
      </c>
      <c r="L136" s="4" t="str">
        <f t="shared" si="7"/>
        <v>KHÔNG CHO PHÉP</v>
      </c>
    </row>
    <row r="137" spans="1:12" x14ac:dyDescent="0.3">
      <c r="A137" s="4">
        <f t="shared" si="6"/>
        <v>136</v>
      </c>
      <c r="G137" s="4">
        <f>IFERROR(_xlfn.XLOOKUP(F137,'Hồ sơ phương tiện'!$B:$B,'Hồ sơ phương tiện'!$E:$E),"")</f>
        <v>0</v>
      </c>
      <c r="J137" s="4" t="str">
        <f>IFERROR(_xlfn.XLOOKUP(F137,'Hồ sơ phương tiện'!$B:$B,'Hồ sơ phương tiện'!$N:$N),"")</f>
        <v>THIẾU</v>
      </c>
      <c r="K137" s="4" t="str">
        <f>IFERROR(_xlfn.XLOOKUP(F137,'Hồ sơ phương tiện'!$B:$B,'Hồ sơ phương tiện'!$X:$X),"")</f>
        <v>KHÔNG PHÙ HỢP</v>
      </c>
      <c r="L137" s="4" t="str">
        <f t="shared" si="7"/>
        <v>KHÔNG CHO PHÉP</v>
      </c>
    </row>
    <row r="138" spans="1:12" x14ac:dyDescent="0.3">
      <c r="A138" s="4">
        <f t="shared" si="6"/>
        <v>137</v>
      </c>
      <c r="G138" s="4">
        <f>IFERROR(_xlfn.XLOOKUP(F138,'Hồ sơ phương tiện'!$B:$B,'Hồ sơ phương tiện'!$E:$E),"")</f>
        <v>0</v>
      </c>
      <c r="J138" s="4" t="str">
        <f>IFERROR(_xlfn.XLOOKUP(F138,'Hồ sơ phương tiện'!$B:$B,'Hồ sơ phương tiện'!$N:$N),"")</f>
        <v>THIẾU</v>
      </c>
      <c r="K138" s="4" t="str">
        <f>IFERROR(_xlfn.XLOOKUP(F138,'Hồ sơ phương tiện'!$B:$B,'Hồ sơ phương tiện'!$X:$X),"")</f>
        <v>KHÔNG PHÙ HỢP</v>
      </c>
      <c r="L138" s="4" t="str">
        <f t="shared" si="7"/>
        <v>KHÔNG CHO PHÉP</v>
      </c>
    </row>
    <row r="139" spans="1:12" x14ac:dyDescent="0.3">
      <c r="A139" s="4">
        <f t="shared" si="6"/>
        <v>138</v>
      </c>
      <c r="G139" s="4">
        <f>IFERROR(_xlfn.XLOOKUP(F139,'Hồ sơ phương tiện'!$B:$B,'Hồ sơ phương tiện'!$E:$E),"")</f>
        <v>0</v>
      </c>
      <c r="J139" s="4" t="str">
        <f>IFERROR(_xlfn.XLOOKUP(F139,'Hồ sơ phương tiện'!$B:$B,'Hồ sơ phương tiện'!$N:$N),"")</f>
        <v>THIẾU</v>
      </c>
      <c r="K139" s="4" t="str">
        <f>IFERROR(_xlfn.XLOOKUP(F139,'Hồ sơ phương tiện'!$B:$B,'Hồ sơ phương tiện'!$X:$X),"")</f>
        <v>KHÔNG PHÙ HỢP</v>
      </c>
      <c r="L139" s="4" t="str">
        <f t="shared" si="7"/>
        <v>KHÔNG CHO PHÉP</v>
      </c>
    </row>
    <row r="140" spans="1:12" x14ac:dyDescent="0.3">
      <c r="A140" s="4">
        <f t="shared" si="6"/>
        <v>139</v>
      </c>
      <c r="G140" s="4">
        <f>IFERROR(_xlfn.XLOOKUP(F140,'Hồ sơ phương tiện'!$B:$B,'Hồ sơ phương tiện'!$E:$E),"")</f>
        <v>0</v>
      </c>
      <c r="J140" s="4" t="str">
        <f>IFERROR(_xlfn.XLOOKUP(F140,'Hồ sơ phương tiện'!$B:$B,'Hồ sơ phương tiện'!$N:$N),"")</f>
        <v>THIẾU</v>
      </c>
      <c r="K140" s="4" t="str">
        <f>IFERROR(_xlfn.XLOOKUP(F140,'Hồ sơ phương tiện'!$B:$B,'Hồ sơ phương tiện'!$X:$X),"")</f>
        <v>KHÔNG PHÙ HỢP</v>
      </c>
      <c r="L140" s="4" t="str">
        <f t="shared" si="7"/>
        <v>KHÔNG CHO PHÉP</v>
      </c>
    </row>
    <row r="141" spans="1:12" x14ac:dyDescent="0.3">
      <c r="A141" s="4">
        <f t="shared" si="6"/>
        <v>140</v>
      </c>
      <c r="G141" s="4">
        <f>IFERROR(_xlfn.XLOOKUP(F141,'Hồ sơ phương tiện'!$B:$B,'Hồ sơ phương tiện'!$E:$E),"")</f>
        <v>0</v>
      </c>
      <c r="J141" s="4" t="str">
        <f>IFERROR(_xlfn.XLOOKUP(F141,'Hồ sơ phương tiện'!$B:$B,'Hồ sơ phương tiện'!$N:$N),"")</f>
        <v>THIẾU</v>
      </c>
      <c r="K141" s="4" t="str">
        <f>IFERROR(_xlfn.XLOOKUP(F141,'Hồ sơ phương tiện'!$B:$B,'Hồ sơ phương tiện'!$X:$X),"")</f>
        <v>KHÔNG PHÙ HỢP</v>
      </c>
      <c r="L141" s="4" t="str">
        <f t="shared" si="7"/>
        <v>KHÔNG CHO PHÉP</v>
      </c>
    </row>
    <row r="142" spans="1:12" x14ac:dyDescent="0.3">
      <c r="A142" s="4">
        <f t="shared" si="6"/>
        <v>141</v>
      </c>
      <c r="G142" s="4">
        <f>IFERROR(_xlfn.XLOOKUP(F142,'Hồ sơ phương tiện'!$B:$B,'Hồ sơ phương tiện'!$E:$E),"")</f>
        <v>0</v>
      </c>
      <c r="J142" s="4" t="str">
        <f>IFERROR(_xlfn.XLOOKUP(F142,'Hồ sơ phương tiện'!$B:$B,'Hồ sơ phương tiện'!$N:$N),"")</f>
        <v>THIẾU</v>
      </c>
      <c r="K142" s="4" t="str">
        <f>IFERROR(_xlfn.XLOOKUP(F142,'Hồ sơ phương tiện'!$B:$B,'Hồ sơ phương tiện'!$X:$X),"")</f>
        <v>KHÔNG PHÙ HỢP</v>
      </c>
      <c r="L142" s="4" t="str">
        <f t="shared" si="7"/>
        <v>KHÔNG CHO PHÉP</v>
      </c>
    </row>
    <row r="143" spans="1:12" x14ac:dyDescent="0.3">
      <c r="A143" s="4">
        <f t="shared" si="6"/>
        <v>142</v>
      </c>
      <c r="G143" s="4">
        <f>IFERROR(_xlfn.XLOOKUP(F143,'Hồ sơ phương tiện'!$B:$B,'Hồ sơ phương tiện'!$E:$E),"")</f>
        <v>0</v>
      </c>
      <c r="J143" s="4" t="str">
        <f>IFERROR(_xlfn.XLOOKUP(F143,'Hồ sơ phương tiện'!$B:$B,'Hồ sơ phương tiện'!$N:$N),"")</f>
        <v>THIẾU</v>
      </c>
      <c r="K143" s="4" t="str">
        <f>IFERROR(_xlfn.XLOOKUP(F143,'Hồ sơ phương tiện'!$B:$B,'Hồ sơ phương tiện'!$X:$X),"")</f>
        <v>KHÔNG PHÙ HỢP</v>
      </c>
      <c r="L143" s="4" t="str">
        <f t="shared" si="7"/>
        <v>KHÔNG CHO PHÉP</v>
      </c>
    </row>
    <row r="144" spans="1:12" x14ac:dyDescent="0.3">
      <c r="A144" s="4">
        <f t="shared" si="6"/>
        <v>143</v>
      </c>
      <c r="G144" s="4">
        <f>IFERROR(_xlfn.XLOOKUP(F144,'Hồ sơ phương tiện'!$B:$B,'Hồ sơ phương tiện'!$E:$E),"")</f>
        <v>0</v>
      </c>
      <c r="J144" s="4" t="str">
        <f>IFERROR(_xlfn.XLOOKUP(F144,'Hồ sơ phương tiện'!$B:$B,'Hồ sơ phương tiện'!$N:$N),"")</f>
        <v>THIẾU</v>
      </c>
      <c r="K144" s="4" t="str">
        <f>IFERROR(_xlfn.XLOOKUP(F144,'Hồ sơ phương tiện'!$B:$B,'Hồ sơ phương tiện'!$X:$X),"")</f>
        <v>KHÔNG PHÙ HỢP</v>
      </c>
      <c r="L144" s="4" t="str">
        <f t="shared" si="7"/>
        <v>KHÔNG CHO PHÉP</v>
      </c>
    </row>
    <row r="145" spans="1:12" x14ac:dyDescent="0.3">
      <c r="A145" s="4">
        <f t="shared" si="6"/>
        <v>144</v>
      </c>
      <c r="G145" s="4">
        <f>IFERROR(_xlfn.XLOOKUP(F145,'Hồ sơ phương tiện'!$B:$B,'Hồ sơ phương tiện'!$E:$E),"")</f>
        <v>0</v>
      </c>
      <c r="J145" s="4" t="str">
        <f>IFERROR(_xlfn.XLOOKUP(F145,'Hồ sơ phương tiện'!$B:$B,'Hồ sơ phương tiện'!$N:$N),"")</f>
        <v>THIẾU</v>
      </c>
      <c r="K145" s="4" t="str">
        <f>IFERROR(_xlfn.XLOOKUP(F145,'Hồ sơ phương tiện'!$B:$B,'Hồ sơ phương tiện'!$X:$X),"")</f>
        <v>KHÔNG PHÙ HỢP</v>
      </c>
      <c r="L145" s="4" t="str">
        <f t="shared" si="7"/>
        <v>KHÔNG CHO PHÉP</v>
      </c>
    </row>
    <row r="146" spans="1:12" x14ac:dyDescent="0.3">
      <c r="A146" s="4">
        <f t="shared" si="6"/>
        <v>145</v>
      </c>
      <c r="G146" s="4">
        <f>IFERROR(_xlfn.XLOOKUP(F146,'Hồ sơ phương tiện'!$B:$B,'Hồ sơ phương tiện'!$E:$E),"")</f>
        <v>0</v>
      </c>
      <c r="J146" s="4" t="str">
        <f>IFERROR(_xlfn.XLOOKUP(F146,'Hồ sơ phương tiện'!$B:$B,'Hồ sơ phương tiện'!$N:$N),"")</f>
        <v>THIẾU</v>
      </c>
      <c r="K146" s="4" t="str">
        <f>IFERROR(_xlfn.XLOOKUP(F146,'Hồ sơ phương tiện'!$B:$B,'Hồ sơ phương tiện'!$X:$X),"")</f>
        <v>KHÔNG PHÙ HỢP</v>
      </c>
      <c r="L146" s="4" t="str">
        <f t="shared" si="7"/>
        <v>KHÔNG CHO PHÉP</v>
      </c>
    </row>
    <row r="147" spans="1:12" x14ac:dyDescent="0.3">
      <c r="A147" s="4">
        <f t="shared" si="6"/>
        <v>146</v>
      </c>
      <c r="G147" s="4">
        <f>IFERROR(_xlfn.XLOOKUP(F147,'Hồ sơ phương tiện'!$B:$B,'Hồ sơ phương tiện'!$E:$E),"")</f>
        <v>0</v>
      </c>
      <c r="J147" s="4" t="str">
        <f>IFERROR(_xlfn.XLOOKUP(F147,'Hồ sơ phương tiện'!$B:$B,'Hồ sơ phương tiện'!$N:$N),"")</f>
        <v>THIẾU</v>
      </c>
      <c r="K147" s="4" t="str">
        <f>IFERROR(_xlfn.XLOOKUP(F147,'Hồ sơ phương tiện'!$B:$B,'Hồ sơ phương tiện'!$X:$X),"")</f>
        <v>KHÔNG PHÙ HỢP</v>
      </c>
      <c r="L147" s="4" t="str">
        <f t="shared" si="7"/>
        <v>KHÔNG CHO PHÉP</v>
      </c>
    </row>
    <row r="148" spans="1:12" x14ac:dyDescent="0.3">
      <c r="A148" s="4">
        <f t="shared" si="6"/>
        <v>147</v>
      </c>
      <c r="G148" s="4">
        <f>IFERROR(_xlfn.XLOOKUP(F148,'Hồ sơ phương tiện'!$B:$B,'Hồ sơ phương tiện'!$E:$E),"")</f>
        <v>0</v>
      </c>
      <c r="J148" s="4" t="str">
        <f>IFERROR(_xlfn.XLOOKUP(F148,'Hồ sơ phương tiện'!$B:$B,'Hồ sơ phương tiện'!$N:$N),"")</f>
        <v>THIẾU</v>
      </c>
      <c r="K148" s="4" t="str">
        <f>IFERROR(_xlfn.XLOOKUP(F148,'Hồ sơ phương tiện'!$B:$B,'Hồ sơ phương tiện'!$X:$X),"")</f>
        <v>KHÔNG PHÙ HỢP</v>
      </c>
      <c r="L148" s="4" t="str">
        <f t="shared" si="7"/>
        <v>KHÔNG CHO PHÉP</v>
      </c>
    </row>
    <row r="149" spans="1:12" x14ac:dyDescent="0.3">
      <c r="A149" s="4">
        <f t="shared" si="6"/>
        <v>148</v>
      </c>
      <c r="G149" s="4">
        <f>IFERROR(_xlfn.XLOOKUP(F149,'Hồ sơ phương tiện'!$B:$B,'Hồ sơ phương tiện'!$E:$E),"")</f>
        <v>0</v>
      </c>
      <c r="J149" s="4" t="str">
        <f>IFERROR(_xlfn.XLOOKUP(F149,'Hồ sơ phương tiện'!$B:$B,'Hồ sơ phương tiện'!$N:$N),"")</f>
        <v>THIẾU</v>
      </c>
      <c r="K149" s="4" t="str">
        <f>IFERROR(_xlfn.XLOOKUP(F149,'Hồ sơ phương tiện'!$B:$B,'Hồ sơ phương tiện'!$X:$X),"")</f>
        <v>KHÔNG PHÙ HỢP</v>
      </c>
      <c r="L149" s="4" t="str">
        <f t="shared" si="7"/>
        <v>KHÔNG CHO PHÉP</v>
      </c>
    </row>
    <row r="150" spans="1:12" x14ac:dyDescent="0.3">
      <c r="A150" s="4">
        <f t="shared" si="6"/>
        <v>149</v>
      </c>
      <c r="G150" s="4">
        <f>IFERROR(_xlfn.XLOOKUP(F150,'Hồ sơ phương tiện'!$B:$B,'Hồ sơ phương tiện'!$E:$E),"")</f>
        <v>0</v>
      </c>
      <c r="J150" s="4" t="str">
        <f>IFERROR(_xlfn.XLOOKUP(F150,'Hồ sơ phương tiện'!$B:$B,'Hồ sơ phương tiện'!$N:$N),"")</f>
        <v>THIẾU</v>
      </c>
      <c r="K150" s="4" t="str">
        <f>IFERROR(_xlfn.XLOOKUP(F150,'Hồ sơ phương tiện'!$B:$B,'Hồ sơ phương tiện'!$X:$X),"")</f>
        <v>KHÔNG PHÙ HỢP</v>
      </c>
      <c r="L150" s="4" t="str">
        <f t="shared" si="7"/>
        <v>KHÔNG CHO PHÉP</v>
      </c>
    </row>
    <row r="151" spans="1:12" x14ac:dyDescent="0.3">
      <c r="A151" s="4">
        <f t="shared" si="6"/>
        <v>150</v>
      </c>
      <c r="G151" s="4">
        <f>IFERROR(_xlfn.XLOOKUP(F151,'Hồ sơ phương tiện'!$B:$B,'Hồ sơ phương tiện'!$E:$E),"")</f>
        <v>0</v>
      </c>
      <c r="J151" s="4" t="str">
        <f>IFERROR(_xlfn.XLOOKUP(F151,'Hồ sơ phương tiện'!$B:$B,'Hồ sơ phương tiện'!$N:$N),"")</f>
        <v>THIẾU</v>
      </c>
      <c r="K151" s="4" t="str">
        <f>IFERROR(_xlfn.XLOOKUP(F151,'Hồ sơ phương tiện'!$B:$B,'Hồ sơ phương tiện'!$X:$X),"")</f>
        <v>KHÔNG PHÙ HỢP</v>
      </c>
      <c r="L151" s="4" t="str">
        <f t="shared" si="7"/>
        <v>KHÔNG CHO PHÉP</v>
      </c>
    </row>
    <row r="152" spans="1:12" x14ac:dyDescent="0.3">
      <c r="A152" s="4">
        <f t="shared" si="6"/>
        <v>151</v>
      </c>
      <c r="G152" s="4">
        <f>IFERROR(_xlfn.XLOOKUP(F152,'Hồ sơ phương tiện'!$B:$B,'Hồ sơ phương tiện'!$E:$E),"")</f>
        <v>0</v>
      </c>
      <c r="J152" s="4" t="str">
        <f>IFERROR(_xlfn.XLOOKUP(F152,'Hồ sơ phương tiện'!$B:$B,'Hồ sơ phương tiện'!$N:$N),"")</f>
        <v>THIẾU</v>
      </c>
      <c r="K152" s="4" t="str">
        <f>IFERROR(_xlfn.XLOOKUP(F152,'Hồ sơ phương tiện'!$B:$B,'Hồ sơ phương tiện'!$X:$X),"")</f>
        <v>KHÔNG PHÙ HỢP</v>
      </c>
      <c r="L152" s="4" t="str">
        <f t="shared" si="7"/>
        <v>KHÔNG CHO PHÉP</v>
      </c>
    </row>
    <row r="153" spans="1:12" x14ac:dyDescent="0.3">
      <c r="A153" s="4">
        <f t="shared" si="6"/>
        <v>152</v>
      </c>
      <c r="G153" s="4">
        <f>IFERROR(_xlfn.XLOOKUP(F153,'Hồ sơ phương tiện'!$B:$B,'Hồ sơ phương tiện'!$E:$E),"")</f>
        <v>0</v>
      </c>
      <c r="J153" s="4" t="str">
        <f>IFERROR(_xlfn.XLOOKUP(F153,'Hồ sơ phương tiện'!$B:$B,'Hồ sơ phương tiện'!$N:$N),"")</f>
        <v>THIẾU</v>
      </c>
      <c r="K153" s="4" t="str">
        <f>IFERROR(_xlfn.XLOOKUP(F153,'Hồ sơ phương tiện'!$B:$B,'Hồ sơ phương tiện'!$X:$X),"")</f>
        <v>KHÔNG PHÙ HỢP</v>
      </c>
      <c r="L153" s="4" t="str">
        <f t="shared" si="7"/>
        <v>KHÔNG CHO PHÉP</v>
      </c>
    </row>
    <row r="154" spans="1:12" x14ac:dyDescent="0.3">
      <c r="A154" s="4">
        <f t="shared" si="6"/>
        <v>153</v>
      </c>
      <c r="G154" s="4">
        <f>IFERROR(_xlfn.XLOOKUP(F154,'Hồ sơ phương tiện'!$B:$B,'Hồ sơ phương tiện'!$E:$E),"")</f>
        <v>0</v>
      </c>
      <c r="J154" s="4" t="str">
        <f>IFERROR(_xlfn.XLOOKUP(F154,'Hồ sơ phương tiện'!$B:$B,'Hồ sơ phương tiện'!$N:$N),"")</f>
        <v>THIẾU</v>
      </c>
      <c r="K154" s="4" t="str">
        <f>IFERROR(_xlfn.XLOOKUP(F154,'Hồ sơ phương tiện'!$B:$B,'Hồ sơ phương tiện'!$X:$X),"")</f>
        <v>KHÔNG PHÙ HỢP</v>
      </c>
      <c r="L154" s="4" t="str">
        <f t="shared" si="7"/>
        <v>KHÔNG CHO PHÉP</v>
      </c>
    </row>
    <row r="155" spans="1:12" x14ac:dyDescent="0.3">
      <c r="A155" s="4">
        <f t="shared" si="6"/>
        <v>154</v>
      </c>
      <c r="G155" s="4">
        <f>IFERROR(_xlfn.XLOOKUP(F155,'Hồ sơ phương tiện'!$B:$B,'Hồ sơ phương tiện'!$E:$E),"")</f>
        <v>0</v>
      </c>
      <c r="J155" s="4" t="str">
        <f>IFERROR(_xlfn.XLOOKUP(F155,'Hồ sơ phương tiện'!$B:$B,'Hồ sơ phương tiện'!$N:$N),"")</f>
        <v>THIẾU</v>
      </c>
      <c r="K155" s="4" t="str">
        <f>IFERROR(_xlfn.XLOOKUP(F155,'Hồ sơ phương tiện'!$B:$B,'Hồ sơ phương tiện'!$X:$X),"")</f>
        <v>KHÔNG PHÙ HỢP</v>
      </c>
      <c r="L155" s="4" t="str">
        <f t="shared" si="7"/>
        <v>KHÔNG CHO PHÉP</v>
      </c>
    </row>
    <row r="156" spans="1:12" x14ac:dyDescent="0.3">
      <c r="A156" s="4">
        <f t="shared" si="6"/>
        <v>155</v>
      </c>
      <c r="G156" s="4">
        <f>IFERROR(_xlfn.XLOOKUP(F156,'Hồ sơ phương tiện'!$B:$B,'Hồ sơ phương tiện'!$E:$E),"")</f>
        <v>0</v>
      </c>
      <c r="J156" s="4" t="str">
        <f>IFERROR(_xlfn.XLOOKUP(F156,'Hồ sơ phương tiện'!$B:$B,'Hồ sơ phương tiện'!$N:$N),"")</f>
        <v>THIẾU</v>
      </c>
      <c r="K156" s="4" t="str">
        <f>IFERROR(_xlfn.XLOOKUP(F156,'Hồ sơ phương tiện'!$B:$B,'Hồ sơ phương tiện'!$X:$X),"")</f>
        <v>KHÔNG PHÙ HỢP</v>
      </c>
      <c r="L156" s="4" t="str">
        <f t="shared" si="7"/>
        <v>KHÔNG CHO PHÉP</v>
      </c>
    </row>
    <row r="157" spans="1:12" x14ac:dyDescent="0.3">
      <c r="A157" s="4">
        <f t="shared" si="6"/>
        <v>156</v>
      </c>
      <c r="G157" s="4">
        <f>IFERROR(_xlfn.XLOOKUP(F157,'Hồ sơ phương tiện'!$B:$B,'Hồ sơ phương tiện'!$E:$E),"")</f>
        <v>0</v>
      </c>
      <c r="J157" s="4" t="str">
        <f>IFERROR(_xlfn.XLOOKUP(F157,'Hồ sơ phương tiện'!$B:$B,'Hồ sơ phương tiện'!$N:$N),"")</f>
        <v>THIẾU</v>
      </c>
      <c r="K157" s="4" t="str">
        <f>IFERROR(_xlfn.XLOOKUP(F157,'Hồ sơ phương tiện'!$B:$B,'Hồ sơ phương tiện'!$X:$X),"")</f>
        <v>KHÔNG PHÙ HỢP</v>
      </c>
      <c r="L157" s="4" t="str">
        <f t="shared" si="7"/>
        <v>KHÔNG CHO PHÉP</v>
      </c>
    </row>
    <row r="158" spans="1:12" x14ac:dyDescent="0.3">
      <c r="A158" s="4">
        <f t="shared" si="6"/>
        <v>157</v>
      </c>
      <c r="G158" s="4">
        <f>IFERROR(_xlfn.XLOOKUP(F158,'Hồ sơ phương tiện'!$B:$B,'Hồ sơ phương tiện'!$E:$E),"")</f>
        <v>0</v>
      </c>
      <c r="J158" s="4" t="str">
        <f>IFERROR(_xlfn.XLOOKUP(F158,'Hồ sơ phương tiện'!$B:$B,'Hồ sơ phương tiện'!$N:$N),"")</f>
        <v>THIẾU</v>
      </c>
      <c r="K158" s="4" t="str">
        <f>IFERROR(_xlfn.XLOOKUP(F158,'Hồ sơ phương tiện'!$B:$B,'Hồ sơ phương tiện'!$X:$X),"")</f>
        <v>KHÔNG PHÙ HỢP</v>
      </c>
      <c r="L158" s="4" t="str">
        <f t="shared" si="7"/>
        <v>KHÔNG CHO PHÉP</v>
      </c>
    </row>
    <row r="159" spans="1:12" x14ac:dyDescent="0.3">
      <c r="A159" s="4">
        <f t="shared" si="6"/>
        <v>158</v>
      </c>
      <c r="G159" s="4">
        <f>IFERROR(_xlfn.XLOOKUP(F159,'Hồ sơ phương tiện'!$B:$B,'Hồ sơ phương tiện'!$E:$E),"")</f>
        <v>0</v>
      </c>
      <c r="J159" s="4" t="str">
        <f>IFERROR(_xlfn.XLOOKUP(F159,'Hồ sơ phương tiện'!$B:$B,'Hồ sơ phương tiện'!$N:$N),"")</f>
        <v>THIẾU</v>
      </c>
      <c r="K159" s="4" t="str">
        <f>IFERROR(_xlfn.XLOOKUP(F159,'Hồ sơ phương tiện'!$B:$B,'Hồ sơ phương tiện'!$X:$X),"")</f>
        <v>KHÔNG PHÙ HỢP</v>
      </c>
      <c r="L159" s="4" t="str">
        <f t="shared" si="7"/>
        <v>KHÔNG CHO PHÉP</v>
      </c>
    </row>
    <row r="160" spans="1:12" x14ac:dyDescent="0.3">
      <c r="A160" s="4">
        <f t="shared" si="6"/>
        <v>159</v>
      </c>
      <c r="G160" s="4">
        <f>IFERROR(_xlfn.XLOOKUP(F160,'Hồ sơ phương tiện'!$B:$B,'Hồ sơ phương tiện'!$E:$E),"")</f>
        <v>0</v>
      </c>
      <c r="J160" s="4" t="str">
        <f>IFERROR(_xlfn.XLOOKUP(F160,'Hồ sơ phương tiện'!$B:$B,'Hồ sơ phương tiện'!$N:$N),"")</f>
        <v>THIẾU</v>
      </c>
      <c r="K160" s="4" t="str">
        <f>IFERROR(_xlfn.XLOOKUP(F160,'Hồ sơ phương tiện'!$B:$B,'Hồ sơ phương tiện'!$X:$X),"")</f>
        <v>KHÔNG PHÙ HỢP</v>
      </c>
      <c r="L160" s="4" t="str">
        <f t="shared" si="7"/>
        <v>KHÔNG CHO PHÉP</v>
      </c>
    </row>
    <row r="161" spans="1:12" x14ac:dyDescent="0.3">
      <c r="A161" s="4">
        <f t="shared" si="6"/>
        <v>160</v>
      </c>
      <c r="G161" s="4">
        <f>IFERROR(_xlfn.XLOOKUP(F161,'Hồ sơ phương tiện'!$B:$B,'Hồ sơ phương tiện'!$E:$E),"")</f>
        <v>0</v>
      </c>
      <c r="J161" s="4" t="str">
        <f>IFERROR(_xlfn.XLOOKUP(F161,'Hồ sơ phương tiện'!$B:$B,'Hồ sơ phương tiện'!$N:$N),"")</f>
        <v>THIẾU</v>
      </c>
      <c r="K161" s="4" t="str">
        <f>IFERROR(_xlfn.XLOOKUP(F161,'Hồ sơ phương tiện'!$B:$B,'Hồ sơ phương tiện'!$X:$X),"")</f>
        <v>KHÔNG PHÙ HỢP</v>
      </c>
      <c r="L161" s="4" t="str">
        <f t="shared" si="7"/>
        <v>KHÔNG CHO PHÉP</v>
      </c>
    </row>
    <row r="162" spans="1:12" x14ac:dyDescent="0.3">
      <c r="A162" s="4">
        <f t="shared" si="6"/>
        <v>161</v>
      </c>
      <c r="G162" s="4">
        <f>IFERROR(_xlfn.XLOOKUP(F162,'Hồ sơ phương tiện'!$B:$B,'Hồ sơ phương tiện'!$E:$E),"")</f>
        <v>0</v>
      </c>
      <c r="J162" s="4" t="str">
        <f>IFERROR(_xlfn.XLOOKUP(F162,'Hồ sơ phương tiện'!$B:$B,'Hồ sơ phương tiện'!$N:$N),"")</f>
        <v>THIẾU</v>
      </c>
      <c r="K162" s="4" t="str">
        <f>IFERROR(_xlfn.XLOOKUP(F162,'Hồ sơ phương tiện'!$B:$B,'Hồ sơ phương tiện'!$X:$X),"")</f>
        <v>KHÔNG PHÙ HỢP</v>
      </c>
      <c r="L162" s="4" t="str">
        <f t="shared" si="7"/>
        <v>KHÔNG CHO PHÉP</v>
      </c>
    </row>
    <row r="163" spans="1:12" x14ac:dyDescent="0.3">
      <c r="A163" s="4">
        <f t="shared" si="6"/>
        <v>162</v>
      </c>
      <c r="G163" s="4">
        <f>IFERROR(_xlfn.XLOOKUP(F163,'Hồ sơ phương tiện'!$B:$B,'Hồ sơ phương tiện'!$E:$E),"")</f>
        <v>0</v>
      </c>
      <c r="J163" s="4" t="str">
        <f>IFERROR(_xlfn.XLOOKUP(F163,'Hồ sơ phương tiện'!$B:$B,'Hồ sơ phương tiện'!$N:$N),"")</f>
        <v>THIẾU</v>
      </c>
      <c r="K163" s="4" t="str">
        <f>IFERROR(_xlfn.XLOOKUP(F163,'Hồ sơ phương tiện'!$B:$B,'Hồ sơ phương tiện'!$X:$X),"")</f>
        <v>KHÔNG PHÙ HỢP</v>
      </c>
      <c r="L163" s="4" t="str">
        <f t="shared" si="7"/>
        <v>KHÔNG CHO PHÉP</v>
      </c>
    </row>
    <row r="164" spans="1:12" x14ac:dyDescent="0.3">
      <c r="A164" s="4">
        <f t="shared" si="6"/>
        <v>163</v>
      </c>
      <c r="G164" s="4">
        <f>IFERROR(_xlfn.XLOOKUP(F164,'Hồ sơ phương tiện'!$B:$B,'Hồ sơ phương tiện'!$E:$E),"")</f>
        <v>0</v>
      </c>
      <c r="J164" s="4" t="str">
        <f>IFERROR(_xlfn.XLOOKUP(F164,'Hồ sơ phương tiện'!$B:$B,'Hồ sơ phương tiện'!$N:$N),"")</f>
        <v>THIẾU</v>
      </c>
      <c r="K164" s="4" t="str">
        <f>IFERROR(_xlfn.XLOOKUP(F164,'Hồ sơ phương tiện'!$B:$B,'Hồ sơ phương tiện'!$X:$X),"")</f>
        <v>KHÔNG PHÙ HỢP</v>
      </c>
      <c r="L164" s="4" t="str">
        <f t="shared" si="7"/>
        <v>KHÔNG CHO PHÉP</v>
      </c>
    </row>
    <row r="165" spans="1:12" x14ac:dyDescent="0.3">
      <c r="A165" s="4">
        <f t="shared" si="6"/>
        <v>164</v>
      </c>
      <c r="G165" s="4">
        <f>IFERROR(_xlfn.XLOOKUP(F165,'Hồ sơ phương tiện'!$B:$B,'Hồ sơ phương tiện'!$E:$E),"")</f>
        <v>0</v>
      </c>
      <c r="J165" s="4" t="str">
        <f>IFERROR(_xlfn.XLOOKUP(F165,'Hồ sơ phương tiện'!$B:$B,'Hồ sơ phương tiện'!$N:$N),"")</f>
        <v>THIẾU</v>
      </c>
      <c r="K165" s="4" t="str">
        <f>IFERROR(_xlfn.XLOOKUP(F165,'Hồ sơ phương tiện'!$B:$B,'Hồ sơ phương tiện'!$X:$X),"")</f>
        <v>KHÔNG PHÙ HỢP</v>
      </c>
      <c r="L165" s="4" t="str">
        <f t="shared" si="7"/>
        <v>KHÔNG CHO PHÉP</v>
      </c>
    </row>
    <row r="166" spans="1:12" x14ac:dyDescent="0.3">
      <c r="A166" s="4">
        <f t="shared" si="6"/>
        <v>165</v>
      </c>
      <c r="G166" s="4">
        <f>IFERROR(_xlfn.XLOOKUP(F166,'Hồ sơ phương tiện'!$B:$B,'Hồ sơ phương tiện'!$E:$E),"")</f>
        <v>0</v>
      </c>
      <c r="J166" s="4" t="str">
        <f>IFERROR(_xlfn.XLOOKUP(F166,'Hồ sơ phương tiện'!$B:$B,'Hồ sơ phương tiện'!$N:$N),"")</f>
        <v>THIẾU</v>
      </c>
      <c r="K166" s="4" t="str">
        <f>IFERROR(_xlfn.XLOOKUP(F166,'Hồ sơ phương tiện'!$B:$B,'Hồ sơ phương tiện'!$X:$X),"")</f>
        <v>KHÔNG PHÙ HỢP</v>
      </c>
      <c r="L166" s="4" t="str">
        <f t="shared" si="7"/>
        <v>KHÔNG CHO PHÉP</v>
      </c>
    </row>
    <row r="167" spans="1:12" x14ac:dyDescent="0.3">
      <c r="A167" s="4">
        <f t="shared" si="6"/>
        <v>166</v>
      </c>
      <c r="G167" s="4">
        <f>IFERROR(_xlfn.XLOOKUP(F167,'Hồ sơ phương tiện'!$B:$B,'Hồ sơ phương tiện'!$E:$E),"")</f>
        <v>0</v>
      </c>
      <c r="J167" s="4" t="str">
        <f>IFERROR(_xlfn.XLOOKUP(F167,'Hồ sơ phương tiện'!$B:$B,'Hồ sơ phương tiện'!$N:$N),"")</f>
        <v>THIẾU</v>
      </c>
      <c r="K167" s="4" t="str">
        <f>IFERROR(_xlfn.XLOOKUP(F167,'Hồ sơ phương tiện'!$B:$B,'Hồ sơ phương tiện'!$X:$X),"")</f>
        <v>KHÔNG PHÙ HỢP</v>
      </c>
      <c r="L167" s="4" t="str">
        <f t="shared" si="7"/>
        <v>KHÔNG CHO PHÉP</v>
      </c>
    </row>
    <row r="168" spans="1:12" x14ac:dyDescent="0.3">
      <c r="A168" s="4">
        <f t="shared" si="6"/>
        <v>167</v>
      </c>
      <c r="G168" s="4">
        <f>IFERROR(_xlfn.XLOOKUP(F168,'Hồ sơ phương tiện'!$B:$B,'Hồ sơ phương tiện'!$E:$E),"")</f>
        <v>0</v>
      </c>
      <c r="J168" s="4" t="str">
        <f>IFERROR(_xlfn.XLOOKUP(F168,'Hồ sơ phương tiện'!$B:$B,'Hồ sơ phương tiện'!$N:$N),"")</f>
        <v>THIẾU</v>
      </c>
      <c r="K168" s="4" t="str">
        <f>IFERROR(_xlfn.XLOOKUP(F168,'Hồ sơ phương tiện'!$B:$B,'Hồ sơ phương tiện'!$X:$X),"")</f>
        <v>KHÔNG PHÙ HỢP</v>
      </c>
      <c r="L168" s="4" t="str">
        <f t="shared" si="7"/>
        <v>KHÔNG CHO PHÉP</v>
      </c>
    </row>
    <row r="169" spans="1:12" x14ac:dyDescent="0.3">
      <c r="A169" s="4">
        <f t="shared" si="6"/>
        <v>168</v>
      </c>
      <c r="G169" s="4">
        <f>IFERROR(_xlfn.XLOOKUP(F169,'Hồ sơ phương tiện'!$B:$B,'Hồ sơ phương tiện'!$E:$E),"")</f>
        <v>0</v>
      </c>
      <c r="J169" s="4" t="str">
        <f>IFERROR(_xlfn.XLOOKUP(F169,'Hồ sơ phương tiện'!$B:$B,'Hồ sơ phương tiện'!$N:$N),"")</f>
        <v>THIẾU</v>
      </c>
      <c r="K169" s="4" t="str">
        <f>IFERROR(_xlfn.XLOOKUP(F169,'Hồ sơ phương tiện'!$B:$B,'Hồ sơ phương tiện'!$X:$X),"")</f>
        <v>KHÔNG PHÙ HỢP</v>
      </c>
      <c r="L169" s="4" t="str">
        <f t="shared" si="7"/>
        <v>KHÔNG CHO PHÉP</v>
      </c>
    </row>
    <row r="170" spans="1:12" x14ac:dyDescent="0.3">
      <c r="A170" s="4">
        <f t="shared" si="6"/>
        <v>169</v>
      </c>
      <c r="G170" s="4">
        <f>IFERROR(_xlfn.XLOOKUP(F170,'Hồ sơ phương tiện'!$B:$B,'Hồ sơ phương tiện'!$E:$E),"")</f>
        <v>0</v>
      </c>
      <c r="J170" s="4" t="str">
        <f>IFERROR(_xlfn.XLOOKUP(F170,'Hồ sơ phương tiện'!$B:$B,'Hồ sơ phương tiện'!$N:$N),"")</f>
        <v>THIẾU</v>
      </c>
      <c r="K170" s="4" t="str">
        <f>IFERROR(_xlfn.XLOOKUP(F170,'Hồ sơ phương tiện'!$B:$B,'Hồ sơ phương tiện'!$X:$X),"")</f>
        <v>KHÔNG PHÙ HỢP</v>
      </c>
      <c r="L170" s="4" t="str">
        <f t="shared" si="7"/>
        <v>KHÔNG CHO PHÉP</v>
      </c>
    </row>
    <row r="171" spans="1:12" x14ac:dyDescent="0.3">
      <c r="A171" s="4">
        <f t="shared" si="6"/>
        <v>170</v>
      </c>
      <c r="G171" s="4">
        <f>IFERROR(_xlfn.XLOOKUP(F171,'Hồ sơ phương tiện'!$B:$B,'Hồ sơ phương tiện'!$E:$E),"")</f>
        <v>0</v>
      </c>
      <c r="J171" s="4" t="str">
        <f>IFERROR(_xlfn.XLOOKUP(F171,'Hồ sơ phương tiện'!$B:$B,'Hồ sơ phương tiện'!$N:$N),"")</f>
        <v>THIẾU</v>
      </c>
      <c r="K171" s="4" t="str">
        <f>IFERROR(_xlfn.XLOOKUP(F171,'Hồ sơ phương tiện'!$B:$B,'Hồ sơ phương tiện'!$X:$X),"")</f>
        <v>KHÔNG PHÙ HỢP</v>
      </c>
      <c r="L171" s="4" t="str">
        <f t="shared" si="7"/>
        <v>KHÔNG CHO PHÉP</v>
      </c>
    </row>
    <row r="172" spans="1:12" x14ac:dyDescent="0.3">
      <c r="A172" s="4">
        <f t="shared" si="6"/>
        <v>171</v>
      </c>
      <c r="G172" s="4">
        <f>IFERROR(_xlfn.XLOOKUP(F172,'Hồ sơ phương tiện'!$B:$B,'Hồ sơ phương tiện'!$E:$E),"")</f>
        <v>0</v>
      </c>
      <c r="J172" s="4" t="str">
        <f>IFERROR(_xlfn.XLOOKUP(F172,'Hồ sơ phương tiện'!$B:$B,'Hồ sơ phương tiện'!$N:$N),"")</f>
        <v>THIẾU</v>
      </c>
      <c r="K172" s="4" t="str">
        <f>IFERROR(_xlfn.XLOOKUP(F172,'Hồ sơ phương tiện'!$B:$B,'Hồ sơ phương tiện'!$X:$X),"")</f>
        <v>KHÔNG PHÙ HỢP</v>
      </c>
      <c r="L172" s="4" t="str">
        <f t="shared" si="7"/>
        <v>KHÔNG CHO PHÉP</v>
      </c>
    </row>
    <row r="173" spans="1:12" x14ac:dyDescent="0.3">
      <c r="A173" s="4">
        <f t="shared" si="6"/>
        <v>172</v>
      </c>
      <c r="G173" s="4">
        <f>IFERROR(_xlfn.XLOOKUP(F173,'Hồ sơ phương tiện'!$B:$B,'Hồ sơ phương tiện'!$E:$E),"")</f>
        <v>0</v>
      </c>
      <c r="J173" s="4" t="str">
        <f>IFERROR(_xlfn.XLOOKUP(F173,'Hồ sơ phương tiện'!$B:$B,'Hồ sơ phương tiện'!$N:$N),"")</f>
        <v>THIẾU</v>
      </c>
      <c r="K173" s="4" t="str">
        <f>IFERROR(_xlfn.XLOOKUP(F173,'Hồ sơ phương tiện'!$B:$B,'Hồ sơ phương tiện'!$X:$X),"")</f>
        <v>KHÔNG PHÙ HỢP</v>
      </c>
      <c r="L173" s="4" t="str">
        <f t="shared" si="7"/>
        <v>KHÔNG CHO PHÉP</v>
      </c>
    </row>
    <row r="174" spans="1:12" x14ac:dyDescent="0.3">
      <c r="A174" s="4">
        <f t="shared" si="6"/>
        <v>173</v>
      </c>
      <c r="G174" s="4">
        <f>IFERROR(_xlfn.XLOOKUP(F174,'Hồ sơ phương tiện'!$B:$B,'Hồ sơ phương tiện'!$E:$E),"")</f>
        <v>0</v>
      </c>
      <c r="J174" s="4" t="str">
        <f>IFERROR(_xlfn.XLOOKUP(F174,'Hồ sơ phương tiện'!$B:$B,'Hồ sơ phương tiện'!$N:$N),"")</f>
        <v>THIẾU</v>
      </c>
      <c r="K174" s="4" t="str">
        <f>IFERROR(_xlfn.XLOOKUP(F174,'Hồ sơ phương tiện'!$B:$B,'Hồ sơ phương tiện'!$X:$X),"")</f>
        <v>KHÔNG PHÙ HỢP</v>
      </c>
      <c r="L174" s="4" t="str">
        <f t="shared" si="7"/>
        <v>KHÔNG CHO PHÉP</v>
      </c>
    </row>
    <row r="175" spans="1:12" x14ac:dyDescent="0.3">
      <c r="A175" s="4">
        <f t="shared" si="6"/>
        <v>174</v>
      </c>
      <c r="G175" s="4">
        <f>IFERROR(_xlfn.XLOOKUP(F175,'Hồ sơ phương tiện'!$B:$B,'Hồ sơ phương tiện'!$E:$E),"")</f>
        <v>0</v>
      </c>
      <c r="J175" s="4" t="str">
        <f>IFERROR(_xlfn.XLOOKUP(F175,'Hồ sơ phương tiện'!$B:$B,'Hồ sơ phương tiện'!$N:$N),"")</f>
        <v>THIẾU</v>
      </c>
      <c r="K175" s="4" t="str">
        <f>IFERROR(_xlfn.XLOOKUP(F175,'Hồ sơ phương tiện'!$B:$B,'Hồ sơ phương tiện'!$X:$X),"")</f>
        <v>KHÔNG PHÙ HỢP</v>
      </c>
      <c r="L175" s="4" t="str">
        <f t="shared" si="7"/>
        <v>KHÔNG CHO PHÉP</v>
      </c>
    </row>
    <row r="176" spans="1:12" x14ac:dyDescent="0.3">
      <c r="A176" s="4">
        <f t="shared" si="6"/>
        <v>175</v>
      </c>
      <c r="G176" s="4">
        <f>IFERROR(_xlfn.XLOOKUP(F176,'Hồ sơ phương tiện'!$B:$B,'Hồ sơ phương tiện'!$E:$E),"")</f>
        <v>0</v>
      </c>
      <c r="J176" s="4" t="str">
        <f>IFERROR(_xlfn.XLOOKUP(F176,'Hồ sơ phương tiện'!$B:$B,'Hồ sơ phương tiện'!$N:$N),"")</f>
        <v>THIẾU</v>
      </c>
      <c r="K176" s="4" t="str">
        <f>IFERROR(_xlfn.XLOOKUP(F176,'Hồ sơ phương tiện'!$B:$B,'Hồ sơ phương tiện'!$X:$X),"")</f>
        <v>KHÔNG PHÙ HỢP</v>
      </c>
      <c r="L176" s="4" t="str">
        <f t="shared" si="7"/>
        <v>KHÔNG CHO PHÉP</v>
      </c>
    </row>
    <row r="177" spans="1:12" x14ac:dyDescent="0.3">
      <c r="A177" s="4">
        <f t="shared" si="6"/>
        <v>176</v>
      </c>
      <c r="G177" s="4">
        <f>IFERROR(_xlfn.XLOOKUP(F177,'Hồ sơ phương tiện'!$B:$B,'Hồ sơ phương tiện'!$E:$E),"")</f>
        <v>0</v>
      </c>
      <c r="J177" s="4" t="str">
        <f>IFERROR(_xlfn.XLOOKUP(F177,'Hồ sơ phương tiện'!$B:$B,'Hồ sơ phương tiện'!$N:$N),"")</f>
        <v>THIẾU</v>
      </c>
      <c r="K177" s="4" t="str">
        <f>IFERROR(_xlfn.XLOOKUP(F177,'Hồ sơ phương tiện'!$B:$B,'Hồ sơ phương tiện'!$X:$X),"")</f>
        <v>KHÔNG PHÙ HỢP</v>
      </c>
      <c r="L177" s="4" t="str">
        <f t="shared" si="7"/>
        <v>KHÔNG CHO PHÉP</v>
      </c>
    </row>
    <row r="178" spans="1:12" x14ac:dyDescent="0.3">
      <c r="A178" s="4">
        <f t="shared" si="6"/>
        <v>177</v>
      </c>
      <c r="G178" s="4">
        <f>IFERROR(_xlfn.XLOOKUP(F178,'Hồ sơ phương tiện'!$B:$B,'Hồ sơ phương tiện'!$E:$E),"")</f>
        <v>0</v>
      </c>
      <c r="J178" s="4" t="str">
        <f>IFERROR(_xlfn.XLOOKUP(F178,'Hồ sơ phương tiện'!$B:$B,'Hồ sơ phương tiện'!$N:$N),"")</f>
        <v>THIẾU</v>
      </c>
      <c r="K178" s="4" t="str">
        <f>IFERROR(_xlfn.XLOOKUP(F178,'Hồ sơ phương tiện'!$B:$B,'Hồ sơ phương tiện'!$X:$X),"")</f>
        <v>KHÔNG PHÙ HỢP</v>
      </c>
      <c r="L178" s="4" t="str">
        <f t="shared" si="7"/>
        <v>KHÔNG CHO PHÉP</v>
      </c>
    </row>
    <row r="179" spans="1:12" x14ac:dyDescent="0.3">
      <c r="A179" s="4">
        <f t="shared" si="6"/>
        <v>178</v>
      </c>
      <c r="G179" s="4">
        <f>IFERROR(_xlfn.XLOOKUP(F179,'Hồ sơ phương tiện'!$B:$B,'Hồ sơ phương tiện'!$E:$E),"")</f>
        <v>0</v>
      </c>
      <c r="J179" s="4" t="str">
        <f>IFERROR(_xlfn.XLOOKUP(F179,'Hồ sơ phương tiện'!$B:$B,'Hồ sơ phương tiện'!$N:$N),"")</f>
        <v>THIẾU</v>
      </c>
      <c r="K179" s="4" t="str">
        <f>IFERROR(_xlfn.XLOOKUP(F179,'Hồ sơ phương tiện'!$B:$B,'Hồ sơ phương tiện'!$X:$X),"")</f>
        <v>KHÔNG PHÙ HỢP</v>
      </c>
      <c r="L179" s="4" t="str">
        <f t="shared" si="7"/>
        <v>KHÔNG CHO PHÉP</v>
      </c>
    </row>
    <row r="180" spans="1:12" x14ac:dyDescent="0.3">
      <c r="A180" s="4">
        <f t="shared" si="6"/>
        <v>179</v>
      </c>
      <c r="G180" s="4">
        <f>IFERROR(_xlfn.XLOOKUP(F180,'Hồ sơ phương tiện'!$B:$B,'Hồ sơ phương tiện'!$E:$E),"")</f>
        <v>0</v>
      </c>
      <c r="J180" s="4" t="str">
        <f>IFERROR(_xlfn.XLOOKUP(F180,'Hồ sơ phương tiện'!$B:$B,'Hồ sơ phương tiện'!$N:$N),"")</f>
        <v>THIẾU</v>
      </c>
      <c r="K180" s="4" t="str">
        <f>IFERROR(_xlfn.XLOOKUP(F180,'Hồ sơ phương tiện'!$B:$B,'Hồ sơ phương tiện'!$X:$X),"")</f>
        <v>KHÔNG PHÙ HỢP</v>
      </c>
      <c r="L180" s="4" t="str">
        <f t="shared" si="7"/>
        <v>KHÔNG CHO PHÉP</v>
      </c>
    </row>
    <row r="181" spans="1:12" x14ac:dyDescent="0.3">
      <c r="A181" s="4">
        <f t="shared" si="6"/>
        <v>180</v>
      </c>
      <c r="G181" s="4">
        <f>IFERROR(_xlfn.XLOOKUP(F181,'Hồ sơ phương tiện'!$B:$B,'Hồ sơ phương tiện'!$E:$E),"")</f>
        <v>0</v>
      </c>
      <c r="J181" s="4" t="str">
        <f>IFERROR(_xlfn.XLOOKUP(F181,'Hồ sơ phương tiện'!$B:$B,'Hồ sơ phương tiện'!$N:$N),"")</f>
        <v>THIẾU</v>
      </c>
      <c r="K181" s="4" t="str">
        <f>IFERROR(_xlfn.XLOOKUP(F181,'Hồ sơ phương tiện'!$B:$B,'Hồ sơ phương tiện'!$X:$X),"")</f>
        <v>KHÔNG PHÙ HỢP</v>
      </c>
      <c r="L181" s="4" t="str">
        <f t="shared" si="7"/>
        <v>KHÔNG CHO PHÉP</v>
      </c>
    </row>
    <row r="182" spans="1:12" x14ac:dyDescent="0.3">
      <c r="A182" s="4">
        <f t="shared" si="6"/>
        <v>181</v>
      </c>
      <c r="G182" s="4">
        <f>IFERROR(_xlfn.XLOOKUP(F182,'Hồ sơ phương tiện'!$B:$B,'Hồ sơ phương tiện'!$E:$E),"")</f>
        <v>0</v>
      </c>
      <c r="J182" s="4" t="str">
        <f>IFERROR(_xlfn.XLOOKUP(F182,'Hồ sơ phương tiện'!$B:$B,'Hồ sơ phương tiện'!$N:$N),"")</f>
        <v>THIẾU</v>
      </c>
      <c r="K182" s="4" t="str">
        <f>IFERROR(_xlfn.XLOOKUP(F182,'Hồ sơ phương tiện'!$B:$B,'Hồ sơ phương tiện'!$X:$X),"")</f>
        <v>KHÔNG PHÙ HỢP</v>
      </c>
      <c r="L182" s="4" t="str">
        <f t="shared" si="7"/>
        <v>KHÔNG CHO PHÉP</v>
      </c>
    </row>
    <row r="183" spans="1:12" x14ac:dyDescent="0.3">
      <c r="A183" s="4">
        <f t="shared" si="6"/>
        <v>182</v>
      </c>
      <c r="G183" s="4">
        <f>IFERROR(_xlfn.XLOOKUP(F183,'Hồ sơ phương tiện'!$B:$B,'Hồ sơ phương tiện'!$E:$E),"")</f>
        <v>0</v>
      </c>
      <c r="J183" s="4" t="str">
        <f>IFERROR(_xlfn.XLOOKUP(F183,'Hồ sơ phương tiện'!$B:$B,'Hồ sơ phương tiện'!$N:$N),"")</f>
        <v>THIẾU</v>
      </c>
      <c r="K183" s="4" t="str">
        <f>IFERROR(_xlfn.XLOOKUP(F183,'Hồ sơ phương tiện'!$B:$B,'Hồ sơ phương tiện'!$X:$X),"")</f>
        <v>KHÔNG PHÙ HỢP</v>
      </c>
      <c r="L183" s="4" t="str">
        <f t="shared" si="7"/>
        <v>KHÔNG CHO PHÉP</v>
      </c>
    </row>
    <row r="184" spans="1:12" x14ac:dyDescent="0.3">
      <c r="A184" s="4">
        <f t="shared" si="6"/>
        <v>183</v>
      </c>
      <c r="G184" s="4">
        <f>IFERROR(_xlfn.XLOOKUP(F184,'Hồ sơ phương tiện'!$B:$B,'Hồ sơ phương tiện'!$E:$E),"")</f>
        <v>0</v>
      </c>
      <c r="J184" s="4" t="str">
        <f>IFERROR(_xlfn.XLOOKUP(F184,'Hồ sơ phương tiện'!$B:$B,'Hồ sơ phương tiện'!$N:$N),"")</f>
        <v>THIẾU</v>
      </c>
      <c r="K184" s="4" t="str">
        <f>IFERROR(_xlfn.XLOOKUP(F184,'Hồ sơ phương tiện'!$B:$B,'Hồ sơ phương tiện'!$X:$X),"")</f>
        <v>KHÔNG PHÙ HỢP</v>
      </c>
      <c r="L184" s="4" t="str">
        <f t="shared" si="7"/>
        <v>KHÔNG CHO PHÉP</v>
      </c>
    </row>
    <row r="185" spans="1:12" x14ac:dyDescent="0.3">
      <c r="A185" s="4">
        <f t="shared" si="6"/>
        <v>184</v>
      </c>
      <c r="G185" s="4">
        <f>IFERROR(_xlfn.XLOOKUP(F185,'Hồ sơ phương tiện'!$B:$B,'Hồ sơ phương tiện'!$E:$E),"")</f>
        <v>0</v>
      </c>
      <c r="J185" s="4" t="str">
        <f>IFERROR(_xlfn.XLOOKUP(F185,'Hồ sơ phương tiện'!$B:$B,'Hồ sơ phương tiện'!$N:$N),"")</f>
        <v>THIẾU</v>
      </c>
      <c r="K185" s="4" t="str">
        <f>IFERROR(_xlfn.XLOOKUP(F185,'Hồ sơ phương tiện'!$B:$B,'Hồ sơ phương tiện'!$X:$X),"")</f>
        <v>KHÔNG PHÙ HỢP</v>
      </c>
      <c r="L185" s="4" t="str">
        <f t="shared" si="7"/>
        <v>KHÔNG CHO PHÉP</v>
      </c>
    </row>
    <row r="186" spans="1:12" x14ac:dyDescent="0.3">
      <c r="A186" s="4">
        <f t="shared" si="6"/>
        <v>185</v>
      </c>
      <c r="G186" s="4">
        <f>IFERROR(_xlfn.XLOOKUP(F186,'Hồ sơ phương tiện'!$B:$B,'Hồ sơ phương tiện'!$E:$E),"")</f>
        <v>0</v>
      </c>
      <c r="J186" s="4" t="str">
        <f>IFERROR(_xlfn.XLOOKUP(F186,'Hồ sơ phương tiện'!$B:$B,'Hồ sơ phương tiện'!$N:$N),"")</f>
        <v>THIẾU</v>
      </c>
      <c r="K186" s="4" t="str">
        <f>IFERROR(_xlfn.XLOOKUP(F186,'Hồ sơ phương tiện'!$B:$B,'Hồ sơ phương tiện'!$X:$X),"")</f>
        <v>KHÔNG PHÙ HỢP</v>
      </c>
      <c r="L186" s="4" t="str">
        <f t="shared" si="7"/>
        <v>KHÔNG CHO PHÉP</v>
      </c>
    </row>
    <row r="187" spans="1:12" x14ac:dyDescent="0.3">
      <c r="A187" s="4">
        <f t="shared" si="6"/>
        <v>186</v>
      </c>
      <c r="G187" s="4">
        <f>IFERROR(_xlfn.XLOOKUP(F187,'Hồ sơ phương tiện'!$B:$B,'Hồ sơ phương tiện'!$E:$E),"")</f>
        <v>0</v>
      </c>
      <c r="J187" s="4" t="str">
        <f>IFERROR(_xlfn.XLOOKUP(F187,'Hồ sơ phương tiện'!$B:$B,'Hồ sơ phương tiện'!$N:$N),"")</f>
        <v>THIẾU</v>
      </c>
      <c r="K187" s="4" t="str">
        <f>IFERROR(_xlfn.XLOOKUP(F187,'Hồ sơ phương tiện'!$B:$B,'Hồ sơ phương tiện'!$X:$X),"")</f>
        <v>KHÔNG PHÙ HỢP</v>
      </c>
      <c r="L187" s="4" t="str">
        <f t="shared" si="7"/>
        <v>KHÔNG CHO PHÉP</v>
      </c>
    </row>
    <row r="188" spans="1:12" x14ac:dyDescent="0.3">
      <c r="A188" s="4">
        <f t="shared" si="6"/>
        <v>187</v>
      </c>
      <c r="G188" s="4">
        <f>IFERROR(_xlfn.XLOOKUP(F188,'Hồ sơ phương tiện'!$B:$B,'Hồ sơ phương tiện'!$E:$E),"")</f>
        <v>0</v>
      </c>
      <c r="J188" s="4" t="str">
        <f>IFERROR(_xlfn.XLOOKUP(F188,'Hồ sơ phương tiện'!$B:$B,'Hồ sơ phương tiện'!$N:$N),"")</f>
        <v>THIẾU</v>
      </c>
      <c r="K188" s="4" t="str">
        <f>IFERROR(_xlfn.XLOOKUP(F188,'Hồ sơ phương tiện'!$B:$B,'Hồ sơ phương tiện'!$X:$X),"")</f>
        <v>KHÔNG PHÙ HỢP</v>
      </c>
      <c r="L188" s="4" t="str">
        <f t="shared" si="7"/>
        <v>KHÔNG CHO PHÉP</v>
      </c>
    </row>
    <row r="189" spans="1:12" x14ac:dyDescent="0.3">
      <c r="A189" s="4">
        <f t="shared" si="6"/>
        <v>188</v>
      </c>
      <c r="G189" s="4">
        <f>IFERROR(_xlfn.XLOOKUP(F189,'Hồ sơ phương tiện'!$B:$B,'Hồ sơ phương tiện'!$E:$E),"")</f>
        <v>0</v>
      </c>
      <c r="J189" s="4" t="str">
        <f>IFERROR(_xlfn.XLOOKUP(F189,'Hồ sơ phương tiện'!$B:$B,'Hồ sơ phương tiện'!$N:$N),"")</f>
        <v>THIẾU</v>
      </c>
      <c r="K189" s="4" t="str">
        <f>IFERROR(_xlfn.XLOOKUP(F189,'Hồ sơ phương tiện'!$B:$B,'Hồ sơ phương tiện'!$X:$X),"")</f>
        <v>KHÔNG PHÙ HỢP</v>
      </c>
      <c r="L189" s="4" t="str">
        <f t="shared" si="7"/>
        <v>KHÔNG CHO PHÉP</v>
      </c>
    </row>
    <row r="190" spans="1:12" x14ac:dyDescent="0.3">
      <c r="A190" s="4">
        <f t="shared" si="6"/>
        <v>189</v>
      </c>
      <c r="G190" s="4">
        <f>IFERROR(_xlfn.XLOOKUP(F190,'Hồ sơ phương tiện'!$B:$B,'Hồ sơ phương tiện'!$E:$E),"")</f>
        <v>0</v>
      </c>
      <c r="J190" s="4" t="str">
        <f>IFERROR(_xlfn.XLOOKUP(F190,'Hồ sơ phương tiện'!$B:$B,'Hồ sơ phương tiện'!$N:$N),"")</f>
        <v>THIẾU</v>
      </c>
      <c r="K190" s="4" t="str">
        <f>IFERROR(_xlfn.XLOOKUP(F190,'Hồ sơ phương tiện'!$B:$B,'Hồ sơ phương tiện'!$X:$X),"")</f>
        <v>KHÔNG PHÙ HỢP</v>
      </c>
      <c r="L190" s="4" t="str">
        <f t="shared" si="7"/>
        <v>KHÔNG CHO PHÉP</v>
      </c>
    </row>
    <row r="191" spans="1:12" x14ac:dyDescent="0.3">
      <c r="A191" s="4">
        <f t="shared" si="6"/>
        <v>190</v>
      </c>
      <c r="G191" s="4">
        <f>IFERROR(_xlfn.XLOOKUP(F191,'Hồ sơ phương tiện'!$B:$B,'Hồ sơ phương tiện'!$E:$E),"")</f>
        <v>0</v>
      </c>
      <c r="J191" s="4" t="str">
        <f>IFERROR(_xlfn.XLOOKUP(F191,'Hồ sơ phương tiện'!$B:$B,'Hồ sơ phương tiện'!$N:$N),"")</f>
        <v>THIẾU</v>
      </c>
      <c r="K191" s="4" t="str">
        <f>IFERROR(_xlfn.XLOOKUP(F191,'Hồ sơ phương tiện'!$B:$B,'Hồ sơ phương tiện'!$X:$X),"")</f>
        <v>KHÔNG PHÙ HỢP</v>
      </c>
      <c r="L191" s="4" t="str">
        <f t="shared" si="7"/>
        <v>KHÔNG CHO PHÉP</v>
      </c>
    </row>
    <row r="192" spans="1:12" x14ac:dyDescent="0.3">
      <c r="A192" s="4">
        <f t="shared" si="6"/>
        <v>191</v>
      </c>
      <c r="G192" s="4">
        <f>IFERROR(_xlfn.XLOOKUP(F192,'Hồ sơ phương tiện'!$B:$B,'Hồ sơ phương tiện'!$E:$E),"")</f>
        <v>0</v>
      </c>
      <c r="J192" s="4" t="str">
        <f>IFERROR(_xlfn.XLOOKUP(F192,'Hồ sơ phương tiện'!$B:$B,'Hồ sơ phương tiện'!$N:$N),"")</f>
        <v>THIẾU</v>
      </c>
      <c r="K192" s="4" t="str">
        <f>IFERROR(_xlfn.XLOOKUP(F192,'Hồ sơ phương tiện'!$B:$B,'Hồ sơ phương tiện'!$X:$X),"")</f>
        <v>KHÔNG PHÙ HỢP</v>
      </c>
      <c r="L192" s="4" t="str">
        <f t="shared" si="7"/>
        <v>KHÔNG CHO PHÉP</v>
      </c>
    </row>
    <row r="193" spans="1:12" x14ac:dyDescent="0.3">
      <c r="A193" s="4">
        <f t="shared" si="6"/>
        <v>192</v>
      </c>
      <c r="G193" s="4">
        <f>IFERROR(_xlfn.XLOOKUP(F193,'Hồ sơ phương tiện'!$B:$B,'Hồ sơ phương tiện'!$E:$E),"")</f>
        <v>0</v>
      </c>
      <c r="J193" s="4" t="str">
        <f>IFERROR(_xlfn.XLOOKUP(F193,'Hồ sơ phương tiện'!$B:$B,'Hồ sơ phương tiện'!$N:$N),"")</f>
        <v>THIẾU</v>
      </c>
      <c r="K193" s="4" t="str">
        <f>IFERROR(_xlfn.XLOOKUP(F193,'Hồ sơ phương tiện'!$B:$B,'Hồ sơ phương tiện'!$X:$X),"")</f>
        <v>KHÔNG PHÙ HỢP</v>
      </c>
      <c r="L193" s="4" t="str">
        <f t="shared" si="7"/>
        <v>KHÔNG CHO PHÉP</v>
      </c>
    </row>
    <row r="194" spans="1:12" x14ac:dyDescent="0.3">
      <c r="A194" s="4">
        <f t="shared" ref="A194:A257" si="8">ROW()-1</f>
        <v>193</v>
      </c>
      <c r="G194" s="4">
        <f>IFERROR(_xlfn.XLOOKUP(F194,'Hồ sơ phương tiện'!$B:$B,'Hồ sơ phương tiện'!$E:$E),"")</f>
        <v>0</v>
      </c>
      <c r="J194" s="4" t="str">
        <f>IFERROR(_xlfn.XLOOKUP(F194,'Hồ sơ phương tiện'!$B:$B,'Hồ sơ phương tiện'!$N:$N),"")</f>
        <v>THIẾU</v>
      </c>
      <c r="K194" s="4" t="str">
        <f>IFERROR(_xlfn.XLOOKUP(F194,'Hồ sơ phương tiện'!$B:$B,'Hồ sơ phương tiện'!$X:$X),"")</f>
        <v>KHÔNG PHÙ HỢP</v>
      </c>
      <c r="L194" s="4" t="str">
        <f t="shared" si="7"/>
        <v>KHÔNG CHO PHÉP</v>
      </c>
    </row>
    <row r="195" spans="1:12" x14ac:dyDescent="0.3">
      <c r="A195" s="4">
        <f t="shared" si="8"/>
        <v>194</v>
      </c>
      <c r="G195" s="4">
        <f>IFERROR(_xlfn.XLOOKUP(F195,'Hồ sơ phương tiện'!$B:$B,'Hồ sơ phương tiện'!$E:$E),"")</f>
        <v>0</v>
      </c>
      <c r="J195" s="4" t="str">
        <f>IFERROR(_xlfn.XLOOKUP(F195,'Hồ sơ phương tiện'!$B:$B,'Hồ sơ phương tiện'!$N:$N),"")</f>
        <v>THIẾU</v>
      </c>
      <c r="K195" s="4" t="str">
        <f>IFERROR(_xlfn.XLOOKUP(F195,'Hồ sơ phương tiện'!$B:$B,'Hồ sơ phương tiện'!$X:$X),"")</f>
        <v>KHÔNG PHÙ HỢP</v>
      </c>
      <c r="L195" s="4" t="str">
        <f t="shared" si="7"/>
        <v>KHÔNG CHO PHÉP</v>
      </c>
    </row>
    <row r="196" spans="1:12" x14ac:dyDescent="0.3">
      <c r="A196" s="4">
        <f t="shared" si="8"/>
        <v>195</v>
      </c>
      <c r="G196" s="4">
        <f>IFERROR(_xlfn.XLOOKUP(F196,'Hồ sơ phương tiện'!$B:$B,'Hồ sơ phương tiện'!$E:$E),"")</f>
        <v>0</v>
      </c>
      <c r="J196" s="4" t="str">
        <f>IFERROR(_xlfn.XLOOKUP(F196,'Hồ sơ phương tiện'!$B:$B,'Hồ sơ phương tiện'!$N:$N),"")</f>
        <v>THIẾU</v>
      </c>
      <c r="K196" s="4" t="str">
        <f>IFERROR(_xlfn.XLOOKUP(F196,'Hồ sơ phương tiện'!$B:$B,'Hồ sơ phương tiện'!$X:$X),"")</f>
        <v>KHÔNG PHÙ HỢP</v>
      </c>
      <c r="L196" s="4" t="str">
        <f t="shared" si="7"/>
        <v>KHÔNG CHO PHÉP</v>
      </c>
    </row>
    <row r="197" spans="1:12" x14ac:dyDescent="0.3">
      <c r="A197" s="4">
        <f t="shared" si="8"/>
        <v>196</v>
      </c>
      <c r="G197" s="4">
        <f>IFERROR(_xlfn.XLOOKUP(F197,'Hồ sơ phương tiện'!$B:$B,'Hồ sơ phương tiện'!$E:$E),"")</f>
        <v>0</v>
      </c>
      <c r="J197" s="4" t="str">
        <f>IFERROR(_xlfn.XLOOKUP(F197,'Hồ sơ phương tiện'!$B:$B,'Hồ sơ phương tiện'!$N:$N),"")</f>
        <v>THIẾU</v>
      </c>
      <c r="K197" s="4" t="str">
        <f>IFERROR(_xlfn.XLOOKUP(F197,'Hồ sơ phương tiện'!$B:$B,'Hồ sơ phương tiện'!$X:$X),"")</f>
        <v>KHÔNG PHÙ HỢP</v>
      </c>
      <c r="L197" s="4" t="str">
        <f t="shared" ref="L197:L260" si="9">IF(AND(J197="Đủ",K197="PHÙ HỢP"),"CHO PHÉP","KHÔNG CHO PHÉP")</f>
        <v>KHÔNG CHO PHÉP</v>
      </c>
    </row>
    <row r="198" spans="1:12" x14ac:dyDescent="0.3">
      <c r="A198" s="4">
        <f t="shared" si="8"/>
        <v>197</v>
      </c>
      <c r="G198" s="4">
        <f>IFERROR(_xlfn.XLOOKUP(F198,'Hồ sơ phương tiện'!$B:$B,'Hồ sơ phương tiện'!$E:$E),"")</f>
        <v>0</v>
      </c>
      <c r="J198" s="4" t="str">
        <f>IFERROR(_xlfn.XLOOKUP(F198,'Hồ sơ phương tiện'!$B:$B,'Hồ sơ phương tiện'!$N:$N),"")</f>
        <v>THIẾU</v>
      </c>
      <c r="K198" s="4" t="str">
        <f>IFERROR(_xlfn.XLOOKUP(F198,'Hồ sơ phương tiện'!$B:$B,'Hồ sơ phương tiện'!$X:$X),"")</f>
        <v>KHÔNG PHÙ HỢP</v>
      </c>
      <c r="L198" s="4" t="str">
        <f t="shared" si="9"/>
        <v>KHÔNG CHO PHÉP</v>
      </c>
    </row>
    <row r="199" spans="1:12" x14ac:dyDescent="0.3">
      <c r="A199" s="4">
        <f t="shared" si="8"/>
        <v>198</v>
      </c>
      <c r="G199" s="4">
        <f>IFERROR(_xlfn.XLOOKUP(F199,'Hồ sơ phương tiện'!$B:$B,'Hồ sơ phương tiện'!$E:$E),"")</f>
        <v>0</v>
      </c>
      <c r="J199" s="4" t="str">
        <f>IFERROR(_xlfn.XLOOKUP(F199,'Hồ sơ phương tiện'!$B:$B,'Hồ sơ phương tiện'!$N:$N),"")</f>
        <v>THIẾU</v>
      </c>
      <c r="K199" s="4" t="str">
        <f>IFERROR(_xlfn.XLOOKUP(F199,'Hồ sơ phương tiện'!$B:$B,'Hồ sơ phương tiện'!$X:$X),"")</f>
        <v>KHÔNG PHÙ HỢP</v>
      </c>
      <c r="L199" s="4" t="str">
        <f t="shared" si="9"/>
        <v>KHÔNG CHO PHÉP</v>
      </c>
    </row>
    <row r="200" spans="1:12" x14ac:dyDescent="0.3">
      <c r="A200" s="4">
        <f t="shared" si="8"/>
        <v>199</v>
      </c>
      <c r="G200" s="4">
        <f>IFERROR(_xlfn.XLOOKUP(F200,'Hồ sơ phương tiện'!$B:$B,'Hồ sơ phương tiện'!$E:$E),"")</f>
        <v>0</v>
      </c>
      <c r="J200" s="4" t="str">
        <f>IFERROR(_xlfn.XLOOKUP(F200,'Hồ sơ phương tiện'!$B:$B,'Hồ sơ phương tiện'!$N:$N),"")</f>
        <v>THIẾU</v>
      </c>
      <c r="K200" s="4" t="str">
        <f>IFERROR(_xlfn.XLOOKUP(F200,'Hồ sơ phương tiện'!$B:$B,'Hồ sơ phương tiện'!$X:$X),"")</f>
        <v>KHÔNG PHÙ HỢP</v>
      </c>
      <c r="L200" s="4" t="str">
        <f t="shared" si="9"/>
        <v>KHÔNG CHO PHÉP</v>
      </c>
    </row>
    <row r="201" spans="1:12" x14ac:dyDescent="0.3">
      <c r="A201" s="4">
        <f t="shared" si="8"/>
        <v>200</v>
      </c>
      <c r="G201" s="4">
        <f>IFERROR(_xlfn.XLOOKUP(F201,'Hồ sơ phương tiện'!$B:$B,'Hồ sơ phương tiện'!$E:$E),"")</f>
        <v>0</v>
      </c>
      <c r="J201" s="4" t="str">
        <f>IFERROR(_xlfn.XLOOKUP(F201,'Hồ sơ phương tiện'!$B:$B,'Hồ sơ phương tiện'!$N:$N),"")</f>
        <v>THIẾU</v>
      </c>
      <c r="K201" s="4" t="str">
        <f>IFERROR(_xlfn.XLOOKUP(F201,'Hồ sơ phương tiện'!$B:$B,'Hồ sơ phương tiện'!$X:$X),"")</f>
        <v>KHÔNG PHÙ HỢP</v>
      </c>
      <c r="L201" s="4" t="str">
        <f t="shared" si="9"/>
        <v>KHÔNG CHO PHÉP</v>
      </c>
    </row>
    <row r="202" spans="1:12" x14ac:dyDescent="0.3">
      <c r="A202" s="4">
        <f t="shared" si="8"/>
        <v>201</v>
      </c>
      <c r="G202" s="4">
        <f>IFERROR(_xlfn.XLOOKUP(F202,'Hồ sơ phương tiện'!$B:$B,'Hồ sơ phương tiện'!$E:$E),"")</f>
        <v>0</v>
      </c>
      <c r="J202" s="4" t="str">
        <f>IFERROR(_xlfn.XLOOKUP(F202,'Hồ sơ phương tiện'!$B:$B,'Hồ sơ phương tiện'!$N:$N),"")</f>
        <v>THIẾU</v>
      </c>
      <c r="K202" s="4" t="str">
        <f>IFERROR(_xlfn.XLOOKUP(F202,'Hồ sơ phương tiện'!$B:$B,'Hồ sơ phương tiện'!$X:$X),"")</f>
        <v>KHÔNG PHÙ HỢP</v>
      </c>
      <c r="L202" s="4" t="str">
        <f t="shared" si="9"/>
        <v>KHÔNG CHO PHÉP</v>
      </c>
    </row>
    <row r="203" spans="1:12" x14ac:dyDescent="0.3">
      <c r="A203" s="4">
        <f t="shared" si="8"/>
        <v>202</v>
      </c>
      <c r="G203" s="4">
        <f>IFERROR(_xlfn.XLOOKUP(F203,'Hồ sơ phương tiện'!$B:$B,'Hồ sơ phương tiện'!$E:$E),"")</f>
        <v>0</v>
      </c>
      <c r="J203" s="4" t="str">
        <f>IFERROR(_xlfn.XLOOKUP(F203,'Hồ sơ phương tiện'!$B:$B,'Hồ sơ phương tiện'!$N:$N),"")</f>
        <v>THIẾU</v>
      </c>
      <c r="K203" s="4" t="str">
        <f>IFERROR(_xlfn.XLOOKUP(F203,'Hồ sơ phương tiện'!$B:$B,'Hồ sơ phương tiện'!$X:$X),"")</f>
        <v>KHÔNG PHÙ HỢP</v>
      </c>
      <c r="L203" s="4" t="str">
        <f t="shared" si="9"/>
        <v>KHÔNG CHO PHÉP</v>
      </c>
    </row>
    <row r="204" spans="1:12" x14ac:dyDescent="0.3">
      <c r="A204" s="4">
        <f t="shared" si="8"/>
        <v>203</v>
      </c>
      <c r="G204" s="4">
        <f>IFERROR(_xlfn.XLOOKUP(F204,'Hồ sơ phương tiện'!$B:$B,'Hồ sơ phương tiện'!$E:$E),"")</f>
        <v>0</v>
      </c>
      <c r="J204" s="4" t="str">
        <f>IFERROR(_xlfn.XLOOKUP(F204,'Hồ sơ phương tiện'!$B:$B,'Hồ sơ phương tiện'!$N:$N),"")</f>
        <v>THIẾU</v>
      </c>
      <c r="K204" s="4" t="str">
        <f>IFERROR(_xlfn.XLOOKUP(F204,'Hồ sơ phương tiện'!$B:$B,'Hồ sơ phương tiện'!$X:$X),"")</f>
        <v>KHÔNG PHÙ HỢP</v>
      </c>
      <c r="L204" s="4" t="str">
        <f t="shared" si="9"/>
        <v>KHÔNG CHO PHÉP</v>
      </c>
    </row>
    <row r="205" spans="1:12" x14ac:dyDescent="0.3">
      <c r="A205" s="4">
        <f t="shared" si="8"/>
        <v>204</v>
      </c>
      <c r="G205" s="4">
        <f>IFERROR(_xlfn.XLOOKUP(F205,'Hồ sơ phương tiện'!$B:$B,'Hồ sơ phương tiện'!$E:$E),"")</f>
        <v>0</v>
      </c>
      <c r="J205" s="4" t="str">
        <f>IFERROR(_xlfn.XLOOKUP(F205,'Hồ sơ phương tiện'!$B:$B,'Hồ sơ phương tiện'!$N:$N),"")</f>
        <v>THIẾU</v>
      </c>
      <c r="K205" s="4" t="str">
        <f>IFERROR(_xlfn.XLOOKUP(F205,'Hồ sơ phương tiện'!$B:$B,'Hồ sơ phương tiện'!$X:$X),"")</f>
        <v>KHÔNG PHÙ HỢP</v>
      </c>
      <c r="L205" s="4" t="str">
        <f t="shared" si="9"/>
        <v>KHÔNG CHO PHÉP</v>
      </c>
    </row>
    <row r="206" spans="1:12" x14ac:dyDescent="0.3">
      <c r="A206" s="4">
        <f t="shared" si="8"/>
        <v>205</v>
      </c>
      <c r="G206" s="4">
        <f>IFERROR(_xlfn.XLOOKUP(F206,'Hồ sơ phương tiện'!$B:$B,'Hồ sơ phương tiện'!$E:$E),"")</f>
        <v>0</v>
      </c>
      <c r="J206" s="4" t="str">
        <f>IFERROR(_xlfn.XLOOKUP(F206,'Hồ sơ phương tiện'!$B:$B,'Hồ sơ phương tiện'!$N:$N),"")</f>
        <v>THIẾU</v>
      </c>
      <c r="K206" s="4" t="str">
        <f>IFERROR(_xlfn.XLOOKUP(F206,'Hồ sơ phương tiện'!$B:$B,'Hồ sơ phương tiện'!$X:$X),"")</f>
        <v>KHÔNG PHÙ HỢP</v>
      </c>
      <c r="L206" s="4" t="str">
        <f t="shared" si="9"/>
        <v>KHÔNG CHO PHÉP</v>
      </c>
    </row>
    <row r="207" spans="1:12" x14ac:dyDescent="0.3">
      <c r="A207" s="4">
        <f t="shared" si="8"/>
        <v>206</v>
      </c>
      <c r="G207" s="4">
        <f>IFERROR(_xlfn.XLOOKUP(F207,'Hồ sơ phương tiện'!$B:$B,'Hồ sơ phương tiện'!$E:$E),"")</f>
        <v>0</v>
      </c>
      <c r="J207" s="4" t="str">
        <f>IFERROR(_xlfn.XLOOKUP(F207,'Hồ sơ phương tiện'!$B:$B,'Hồ sơ phương tiện'!$N:$N),"")</f>
        <v>THIẾU</v>
      </c>
      <c r="K207" s="4" t="str">
        <f>IFERROR(_xlfn.XLOOKUP(F207,'Hồ sơ phương tiện'!$B:$B,'Hồ sơ phương tiện'!$X:$X),"")</f>
        <v>KHÔNG PHÙ HỢP</v>
      </c>
      <c r="L207" s="4" t="str">
        <f t="shared" si="9"/>
        <v>KHÔNG CHO PHÉP</v>
      </c>
    </row>
    <row r="208" spans="1:12" x14ac:dyDescent="0.3">
      <c r="A208" s="4">
        <f t="shared" si="8"/>
        <v>207</v>
      </c>
      <c r="G208" s="4">
        <f>IFERROR(_xlfn.XLOOKUP(F208,'Hồ sơ phương tiện'!$B:$B,'Hồ sơ phương tiện'!$E:$E),"")</f>
        <v>0</v>
      </c>
      <c r="J208" s="4" t="str">
        <f>IFERROR(_xlfn.XLOOKUP(F208,'Hồ sơ phương tiện'!$B:$B,'Hồ sơ phương tiện'!$N:$N),"")</f>
        <v>THIẾU</v>
      </c>
      <c r="K208" s="4" t="str">
        <f>IFERROR(_xlfn.XLOOKUP(F208,'Hồ sơ phương tiện'!$B:$B,'Hồ sơ phương tiện'!$X:$X),"")</f>
        <v>KHÔNG PHÙ HỢP</v>
      </c>
      <c r="L208" s="4" t="str">
        <f t="shared" si="9"/>
        <v>KHÔNG CHO PHÉP</v>
      </c>
    </row>
    <row r="209" spans="1:12" x14ac:dyDescent="0.3">
      <c r="A209" s="4">
        <f t="shared" si="8"/>
        <v>208</v>
      </c>
      <c r="G209" s="4">
        <f>IFERROR(_xlfn.XLOOKUP(F209,'Hồ sơ phương tiện'!$B:$B,'Hồ sơ phương tiện'!$E:$E),"")</f>
        <v>0</v>
      </c>
      <c r="J209" s="4" t="str">
        <f>IFERROR(_xlfn.XLOOKUP(F209,'Hồ sơ phương tiện'!$B:$B,'Hồ sơ phương tiện'!$N:$N),"")</f>
        <v>THIẾU</v>
      </c>
      <c r="K209" s="4" t="str">
        <f>IFERROR(_xlfn.XLOOKUP(F209,'Hồ sơ phương tiện'!$B:$B,'Hồ sơ phương tiện'!$X:$X),"")</f>
        <v>KHÔNG PHÙ HỢP</v>
      </c>
      <c r="L209" s="4" t="str">
        <f t="shared" si="9"/>
        <v>KHÔNG CHO PHÉP</v>
      </c>
    </row>
    <row r="210" spans="1:12" x14ac:dyDescent="0.3">
      <c r="A210" s="4">
        <f t="shared" si="8"/>
        <v>209</v>
      </c>
      <c r="G210" s="4">
        <f>IFERROR(_xlfn.XLOOKUP(F210,'Hồ sơ phương tiện'!$B:$B,'Hồ sơ phương tiện'!$E:$E),"")</f>
        <v>0</v>
      </c>
      <c r="J210" s="4" t="str">
        <f>IFERROR(_xlfn.XLOOKUP(F210,'Hồ sơ phương tiện'!$B:$B,'Hồ sơ phương tiện'!$N:$N),"")</f>
        <v>THIẾU</v>
      </c>
      <c r="K210" s="4" t="str">
        <f>IFERROR(_xlfn.XLOOKUP(F210,'Hồ sơ phương tiện'!$B:$B,'Hồ sơ phương tiện'!$X:$X),"")</f>
        <v>KHÔNG PHÙ HỢP</v>
      </c>
      <c r="L210" s="4" t="str">
        <f t="shared" si="9"/>
        <v>KHÔNG CHO PHÉP</v>
      </c>
    </row>
    <row r="211" spans="1:12" x14ac:dyDescent="0.3">
      <c r="A211" s="4">
        <f t="shared" si="8"/>
        <v>210</v>
      </c>
      <c r="G211" s="4">
        <f>IFERROR(_xlfn.XLOOKUP(F211,'Hồ sơ phương tiện'!$B:$B,'Hồ sơ phương tiện'!$E:$E),"")</f>
        <v>0</v>
      </c>
      <c r="J211" s="4" t="str">
        <f>IFERROR(_xlfn.XLOOKUP(F211,'Hồ sơ phương tiện'!$B:$B,'Hồ sơ phương tiện'!$N:$N),"")</f>
        <v>THIẾU</v>
      </c>
      <c r="K211" s="4" t="str">
        <f>IFERROR(_xlfn.XLOOKUP(F211,'Hồ sơ phương tiện'!$B:$B,'Hồ sơ phương tiện'!$X:$X),"")</f>
        <v>KHÔNG PHÙ HỢP</v>
      </c>
      <c r="L211" s="4" t="str">
        <f t="shared" si="9"/>
        <v>KHÔNG CHO PHÉP</v>
      </c>
    </row>
    <row r="212" spans="1:12" x14ac:dyDescent="0.3">
      <c r="A212" s="4">
        <f t="shared" si="8"/>
        <v>211</v>
      </c>
      <c r="G212" s="4">
        <f>IFERROR(_xlfn.XLOOKUP(F212,'Hồ sơ phương tiện'!$B:$B,'Hồ sơ phương tiện'!$E:$E),"")</f>
        <v>0</v>
      </c>
      <c r="J212" s="4" t="str">
        <f>IFERROR(_xlfn.XLOOKUP(F212,'Hồ sơ phương tiện'!$B:$B,'Hồ sơ phương tiện'!$N:$N),"")</f>
        <v>THIẾU</v>
      </c>
      <c r="K212" s="4" t="str">
        <f>IFERROR(_xlfn.XLOOKUP(F212,'Hồ sơ phương tiện'!$B:$B,'Hồ sơ phương tiện'!$X:$X),"")</f>
        <v>KHÔNG PHÙ HỢP</v>
      </c>
      <c r="L212" s="4" t="str">
        <f t="shared" si="9"/>
        <v>KHÔNG CHO PHÉP</v>
      </c>
    </row>
    <row r="213" spans="1:12" x14ac:dyDescent="0.3">
      <c r="A213" s="4">
        <f t="shared" si="8"/>
        <v>212</v>
      </c>
      <c r="G213" s="4">
        <f>IFERROR(_xlfn.XLOOKUP(F213,'Hồ sơ phương tiện'!$B:$B,'Hồ sơ phương tiện'!$E:$E),"")</f>
        <v>0</v>
      </c>
      <c r="J213" s="4" t="str">
        <f>IFERROR(_xlfn.XLOOKUP(F213,'Hồ sơ phương tiện'!$B:$B,'Hồ sơ phương tiện'!$N:$N),"")</f>
        <v>THIẾU</v>
      </c>
      <c r="K213" s="4" t="str">
        <f>IFERROR(_xlfn.XLOOKUP(F213,'Hồ sơ phương tiện'!$B:$B,'Hồ sơ phương tiện'!$X:$X),"")</f>
        <v>KHÔNG PHÙ HỢP</v>
      </c>
      <c r="L213" s="4" t="str">
        <f t="shared" si="9"/>
        <v>KHÔNG CHO PHÉP</v>
      </c>
    </row>
    <row r="214" spans="1:12" x14ac:dyDescent="0.3">
      <c r="A214" s="4">
        <f t="shared" si="8"/>
        <v>213</v>
      </c>
      <c r="G214" s="4">
        <f>IFERROR(_xlfn.XLOOKUP(F214,'Hồ sơ phương tiện'!$B:$B,'Hồ sơ phương tiện'!$E:$E),"")</f>
        <v>0</v>
      </c>
      <c r="J214" s="4" t="str">
        <f>IFERROR(_xlfn.XLOOKUP(F214,'Hồ sơ phương tiện'!$B:$B,'Hồ sơ phương tiện'!$N:$N),"")</f>
        <v>THIẾU</v>
      </c>
      <c r="K214" s="4" t="str">
        <f>IFERROR(_xlfn.XLOOKUP(F214,'Hồ sơ phương tiện'!$B:$B,'Hồ sơ phương tiện'!$X:$X),"")</f>
        <v>KHÔNG PHÙ HỢP</v>
      </c>
      <c r="L214" s="4" t="str">
        <f t="shared" si="9"/>
        <v>KHÔNG CHO PHÉP</v>
      </c>
    </row>
    <row r="215" spans="1:12" x14ac:dyDescent="0.3">
      <c r="A215" s="4">
        <f t="shared" si="8"/>
        <v>214</v>
      </c>
      <c r="G215" s="4">
        <f>IFERROR(_xlfn.XLOOKUP(F215,'Hồ sơ phương tiện'!$B:$B,'Hồ sơ phương tiện'!$E:$E),"")</f>
        <v>0</v>
      </c>
      <c r="J215" s="4" t="str">
        <f>IFERROR(_xlfn.XLOOKUP(F215,'Hồ sơ phương tiện'!$B:$B,'Hồ sơ phương tiện'!$N:$N),"")</f>
        <v>THIẾU</v>
      </c>
      <c r="K215" s="4" t="str">
        <f>IFERROR(_xlfn.XLOOKUP(F215,'Hồ sơ phương tiện'!$B:$B,'Hồ sơ phương tiện'!$X:$X),"")</f>
        <v>KHÔNG PHÙ HỢP</v>
      </c>
      <c r="L215" s="4" t="str">
        <f t="shared" si="9"/>
        <v>KHÔNG CHO PHÉP</v>
      </c>
    </row>
    <row r="216" spans="1:12" x14ac:dyDescent="0.3">
      <c r="A216" s="4">
        <f t="shared" si="8"/>
        <v>215</v>
      </c>
      <c r="G216" s="4">
        <f>IFERROR(_xlfn.XLOOKUP(F216,'Hồ sơ phương tiện'!$B:$B,'Hồ sơ phương tiện'!$E:$E),"")</f>
        <v>0</v>
      </c>
      <c r="J216" s="4" t="str">
        <f>IFERROR(_xlfn.XLOOKUP(F216,'Hồ sơ phương tiện'!$B:$B,'Hồ sơ phương tiện'!$N:$N),"")</f>
        <v>THIẾU</v>
      </c>
      <c r="K216" s="4" t="str">
        <f>IFERROR(_xlfn.XLOOKUP(F216,'Hồ sơ phương tiện'!$B:$B,'Hồ sơ phương tiện'!$X:$X),"")</f>
        <v>KHÔNG PHÙ HỢP</v>
      </c>
      <c r="L216" s="4" t="str">
        <f t="shared" si="9"/>
        <v>KHÔNG CHO PHÉP</v>
      </c>
    </row>
    <row r="217" spans="1:12" x14ac:dyDescent="0.3">
      <c r="A217" s="4">
        <f t="shared" si="8"/>
        <v>216</v>
      </c>
      <c r="G217" s="4">
        <f>IFERROR(_xlfn.XLOOKUP(F217,'Hồ sơ phương tiện'!$B:$B,'Hồ sơ phương tiện'!$E:$E),"")</f>
        <v>0</v>
      </c>
      <c r="J217" s="4" t="str">
        <f>IFERROR(_xlfn.XLOOKUP(F217,'Hồ sơ phương tiện'!$B:$B,'Hồ sơ phương tiện'!$N:$N),"")</f>
        <v>THIẾU</v>
      </c>
      <c r="K217" s="4" t="str">
        <f>IFERROR(_xlfn.XLOOKUP(F217,'Hồ sơ phương tiện'!$B:$B,'Hồ sơ phương tiện'!$X:$X),"")</f>
        <v>KHÔNG PHÙ HỢP</v>
      </c>
      <c r="L217" s="4" t="str">
        <f t="shared" si="9"/>
        <v>KHÔNG CHO PHÉP</v>
      </c>
    </row>
    <row r="218" spans="1:12" x14ac:dyDescent="0.3">
      <c r="A218" s="4">
        <f t="shared" si="8"/>
        <v>217</v>
      </c>
      <c r="G218" s="4">
        <f>IFERROR(_xlfn.XLOOKUP(F218,'Hồ sơ phương tiện'!$B:$B,'Hồ sơ phương tiện'!$E:$E),"")</f>
        <v>0</v>
      </c>
      <c r="J218" s="4" t="str">
        <f>IFERROR(_xlfn.XLOOKUP(F218,'Hồ sơ phương tiện'!$B:$B,'Hồ sơ phương tiện'!$N:$N),"")</f>
        <v>THIẾU</v>
      </c>
      <c r="K218" s="4" t="str">
        <f>IFERROR(_xlfn.XLOOKUP(F218,'Hồ sơ phương tiện'!$B:$B,'Hồ sơ phương tiện'!$X:$X),"")</f>
        <v>KHÔNG PHÙ HỢP</v>
      </c>
      <c r="L218" s="4" t="str">
        <f t="shared" si="9"/>
        <v>KHÔNG CHO PHÉP</v>
      </c>
    </row>
    <row r="219" spans="1:12" x14ac:dyDescent="0.3">
      <c r="A219" s="4">
        <f t="shared" si="8"/>
        <v>218</v>
      </c>
      <c r="G219" s="4">
        <f>IFERROR(_xlfn.XLOOKUP(F219,'Hồ sơ phương tiện'!$B:$B,'Hồ sơ phương tiện'!$E:$E),"")</f>
        <v>0</v>
      </c>
      <c r="J219" s="4" t="str">
        <f>IFERROR(_xlfn.XLOOKUP(F219,'Hồ sơ phương tiện'!$B:$B,'Hồ sơ phương tiện'!$N:$N),"")</f>
        <v>THIẾU</v>
      </c>
      <c r="K219" s="4" t="str">
        <f>IFERROR(_xlfn.XLOOKUP(F219,'Hồ sơ phương tiện'!$B:$B,'Hồ sơ phương tiện'!$X:$X),"")</f>
        <v>KHÔNG PHÙ HỢP</v>
      </c>
      <c r="L219" s="4" t="str">
        <f t="shared" si="9"/>
        <v>KHÔNG CHO PHÉP</v>
      </c>
    </row>
    <row r="220" spans="1:12" x14ac:dyDescent="0.3">
      <c r="A220" s="4">
        <f t="shared" si="8"/>
        <v>219</v>
      </c>
      <c r="G220" s="4">
        <f>IFERROR(_xlfn.XLOOKUP(F220,'Hồ sơ phương tiện'!$B:$B,'Hồ sơ phương tiện'!$E:$E),"")</f>
        <v>0</v>
      </c>
      <c r="J220" s="4" t="str">
        <f>IFERROR(_xlfn.XLOOKUP(F220,'Hồ sơ phương tiện'!$B:$B,'Hồ sơ phương tiện'!$N:$N),"")</f>
        <v>THIẾU</v>
      </c>
      <c r="K220" s="4" t="str">
        <f>IFERROR(_xlfn.XLOOKUP(F220,'Hồ sơ phương tiện'!$B:$B,'Hồ sơ phương tiện'!$X:$X),"")</f>
        <v>KHÔNG PHÙ HỢP</v>
      </c>
      <c r="L220" s="4" t="str">
        <f t="shared" si="9"/>
        <v>KHÔNG CHO PHÉP</v>
      </c>
    </row>
    <row r="221" spans="1:12" x14ac:dyDescent="0.3">
      <c r="A221" s="4">
        <f t="shared" si="8"/>
        <v>220</v>
      </c>
      <c r="G221" s="4">
        <f>IFERROR(_xlfn.XLOOKUP(F221,'Hồ sơ phương tiện'!$B:$B,'Hồ sơ phương tiện'!$E:$E),"")</f>
        <v>0</v>
      </c>
      <c r="J221" s="4" t="str">
        <f>IFERROR(_xlfn.XLOOKUP(F221,'Hồ sơ phương tiện'!$B:$B,'Hồ sơ phương tiện'!$N:$N),"")</f>
        <v>THIẾU</v>
      </c>
      <c r="K221" s="4" t="str">
        <f>IFERROR(_xlfn.XLOOKUP(F221,'Hồ sơ phương tiện'!$B:$B,'Hồ sơ phương tiện'!$X:$X),"")</f>
        <v>KHÔNG PHÙ HỢP</v>
      </c>
      <c r="L221" s="4" t="str">
        <f t="shared" si="9"/>
        <v>KHÔNG CHO PHÉP</v>
      </c>
    </row>
    <row r="222" spans="1:12" x14ac:dyDescent="0.3">
      <c r="A222" s="4">
        <f t="shared" si="8"/>
        <v>221</v>
      </c>
      <c r="G222" s="4">
        <f>IFERROR(_xlfn.XLOOKUP(F222,'Hồ sơ phương tiện'!$B:$B,'Hồ sơ phương tiện'!$E:$E),"")</f>
        <v>0</v>
      </c>
      <c r="J222" s="4" t="str">
        <f>IFERROR(_xlfn.XLOOKUP(F222,'Hồ sơ phương tiện'!$B:$B,'Hồ sơ phương tiện'!$N:$N),"")</f>
        <v>THIẾU</v>
      </c>
      <c r="K222" s="4" t="str">
        <f>IFERROR(_xlfn.XLOOKUP(F222,'Hồ sơ phương tiện'!$B:$B,'Hồ sơ phương tiện'!$X:$X),"")</f>
        <v>KHÔNG PHÙ HỢP</v>
      </c>
      <c r="L222" s="4" t="str">
        <f t="shared" si="9"/>
        <v>KHÔNG CHO PHÉP</v>
      </c>
    </row>
    <row r="223" spans="1:12" x14ac:dyDescent="0.3">
      <c r="A223" s="4">
        <f t="shared" si="8"/>
        <v>222</v>
      </c>
      <c r="G223" s="4">
        <f>IFERROR(_xlfn.XLOOKUP(F223,'Hồ sơ phương tiện'!$B:$B,'Hồ sơ phương tiện'!$E:$E),"")</f>
        <v>0</v>
      </c>
      <c r="J223" s="4" t="str">
        <f>IFERROR(_xlfn.XLOOKUP(F223,'Hồ sơ phương tiện'!$B:$B,'Hồ sơ phương tiện'!$N:$N),"")</f>
        <v>THIẾU</v>
      </c>
      <c r="K223" s="4" t="str">
        <f>IFERROR(_xlfn.XLOOKUP(F223,'Hồ sơ phương tiện'!$B:$B,'Hồ sơ phương tiện'!$X:$X),"")</f>
        <v>KHÔNG PHÙ HỢP</v>
      </c>
      <c r="L223" s="4" t="str">
        <f t="shared" si="9"/>
        <v>KHÔNG CHO PHÉP</v>
      </c>
    </row>
    <row r="224" spans="1:12" x14ac:dyDescent="0.3">
      <c r="A224" s="4">
        <f t="shared" si="8"/>
        <v>223</v>
      </c>
      <c r="G224" s="4">
        <f>IFERROR(_xlfn.XLOOKUP(F224,'Hồ sơ phương tiện'!$B:$B,'Hồ sơ phương tiện'!$E:$E),"")</f>
        <v>0</v>
      </c>
      <c r="J224" s="4" t="str">
        <f>IFERROR(_xlfn.XLOOKUP(F224,'Hồ sơ phương tiện'!$B:$B,'Hồ sơ phương tiện'!$N:$N),"")</f>
        <v>THIẾU</v>
      </c>
      <c r="K224" s="4" t="str">
        <f>IFERROR(_xlfn.XLOOKUP(F224,'Hồ sơ phương tiện'!$B:$B,'Hồ sơ phương tiện'!$X:$X),"")</f>
        <v>KHÔNG PHÙ HỢP</v>
      </c>
      <c r="L224" s="4" t="str">
        <f t="shared" si="9"/>
        <v>KHÔNG CHO PHÉP</v>
      </c>
    </row>
    <row r="225" spans="1:12" x14ac:dyDescent="0.3">
      <c r="A225" s="4">
        <f t="shared" si="8"/>
        <v>224</v>
      </c>
      <c r="G225" s="4">
        <f>IFERROR(_xlfn.XLOOKUP(F225,'Hồ sơ phương tiện'!$B:$B,'Hồ sơ phương tiện'!$E:$E),"")</f>
        <v>0</v>
      </c>
      <c r="J225" s="4" t="str">
        <f>IFERROR(_xlfn.XLOOKUP(F225,'Hồ sơ phương tiện'!$B:$B,'Hồ sơ phương tiện'!$N:$N),"")</f>
        <v>THIẾU</v>
      </c>
      <c r="K225" s="4" t="str">
        <f>IFERROR(_xlfn.XLOOKUP(F225,'Hồ sơ phương tiện'!$B:$B,'Hồ sơ phương tiện'!$X:$X),"")</f>
        <v>KHÔNG PHÙ HỢP</v>
      </c>
      <c r="L225" s="4" t="str">
        <f t="shared" si="9"/>
        <v>KHÔNG CHO PHÉP</v>
      </c>
    </row>
    <row r="226" spans="1:12" x14ac:dyDescent="0.3">
      <c r="A226" s="4">
        <f t="shared" si="8"/>
        <v>225</v>
      </c>
      <c r="G226" s="4">
        <f>IFERROR(_xlfn.XLOOKUP(F226,'Hồ sơ phương tiện'!$B:$B,'Hồ sơ phương tiện'!$E:$E),"")</f>
        <v>0</v>
      </c>
      <c r="J226" s="4" t="str">
        <f>IFERROR(_xlfn.XLOOKUP(F226,'Hồ sơ phương tiện'!$B:$B,'Hồ sơ phương tiện'!$N:$N),"")</f>
        <v>THIẾU</v>
      </c>
      <c r="K226" s="4" t="str">
        <f>IFERROR(_xlfn.XLOOKUP(F226,'Hồ sơ phương tiện'!$B:$B,'Hồ sơ phương tiện'!$X:$X),"")</f>
        <v>KHÔNG PHÙ HỢP</v>
      </c>
      <c r="L226" s="4" t="str">
        <f t="shared" si="9"/>
        <v>KHÔNG CHO PHÉP</v>
      </c>
    </row>
    <row r="227" spans="1:12" x14ac:dyDescent="0.3">
      <c r="A227" s="4">
        <f t="shared" si="8"/>
        <v>226</v>
      </c>
      <c r="G227" s="4">
        <f>IFERROR(_xlfn.XLOOKUP(F227,'Hồ sơ phương tiện'!$B:$B,'Hồ sơ phương tiện'!$E:$E),"")</f>
        <v>0</v>
      </c>
      <c r="J227" s="4" t="str">
        <f>IFERROR(_xlfn.XLOOKUP(F227,'Hồ sơ phương tiện'!$B:$B,'Hồ sơ phương tiện'!$N:$N),"")</f>
        <v>THIẾU</v>
      </c>
      <c r="K227" s="4" t="str">
        <f>IFERROR(_xlfn.XLOOKUP(F227,'Hồ sơ phương tiện'!$B:$B,'Hồ sơ phương tiện'!$X:$X),"")</f>
        <v>KHÔNG PHÙ HỢP</v>
      </c>
      <c r="L227" s="4" t="str">
        <f t="shared" si="9"/>
        <v>KHÔNG CHO PHÉP</v>
      </c>
    </row>
    <row r="228" spans="1:12" x14ac:dyDescent="0.3">
      <c r="A228" s="4">
        <f t="shared" si="8"/>
        <v>227</v>
      </c>
      <c r="G228" s="4">
        <f>IFERROR(_xlfn.XLOOKUP(F228,'Hồ sơ phương tiện'!$B:$B,'Hồ sơ phương tiện'!$E:$E),"")</f>
        <v>0</v>
      </c>
      <c r="J228" s="4" t="str">
        <f>IFERROR(_xlfn.XLOOKUP(F228,'Hồ sơ phương tiện'!$B:$B,'Hồ sơ phương tiện'!$N:$N),"")</f>
        <v>THIẾU</v>
      </c>
      <c r="K228" s="4" t="str">
        <f>IFERROR(_xlfn.XLOOKUP(F228,'Hồ sơ phương tiện'!$B:$B,'Hồ sơ phương tiện'!$X:$X),"")</f>
        <v>KHÔNG PHÙ HỢP</v>
      </c>
      <c r="L228" s="4" t="str">
        <f t="shared" si="9"/>
        <v>KHÔNG CHO PHÉP</v>
      </c>
    </row>
    <row r="229" spans="1:12" x14ac:dyDescent="0.3">
      <c r="A229" s="4">
        <f t="shared" si="8"/>
        <v>228</v>
      </c>
      <c r="G229" s="4">
        <f>IFERROR(_xlfn.XLOOKUP(F229,'Hồ sơ phương tiện'!$B:$B,'Hồ sơ phương tiện'!$E:$E),"")</f>
        <v>0</v>
      </c>
      <c r="J229" s="4" t="str">
        <f>IFERROR(_xlfn.XLOOKUP(F229,'Hồ sơ phương tiện'!$B:$B,'Hồ sơ phương tiện'!$N:$N),"")</f>
        <v>THIẾU</v>
      </c>
      <c r="K229" s="4" t="str">
        <f>IFERROR(_xlfn.XLOOKUP(F229,'Hồ sơ phương tiện'!$B:$B,'Hồ sơ phương tiện'!$X:$X),"")</f>
        <v>KHÔNG PHÙ HỢP</v>
      </c>
      <c r="L229" s="4" t="str">
        <f t="shared" si="9"/>
        <v>KHÔNG CHO PHÉP</v>
      </c>
    </row>
    <row r="230" spans="1:12" x14ac:dyDescent="0.3">
      <c r="A230" s="4">
        <f t="shared" si="8"/>
        <v>229</v>
      </c>
      <c r="G230" s="4">
        <f>IFERROR(_xlfn.XLOOKUP(F230,'Hồ sơ phương tiện'!$B:$B,'Hồ sơ phương tiện'!$E:$E),"")</f>
        <v>0</v>
      </c>
      <c r="J230" s="4" t="str">
        <f>IFERROR(_xlfn.XLOOKUP(F230,'Hồ sơ phương tiện'!$B:$B,'Hồ sơ phương tiện'!$N:$N),"")</f>
        <v>THIẾU</v>
      </c>
      <c r="K230" s="4" t="str">
        <f>IFERROR(_xlfn.XLOOKUP(F230,'Hồ sơ phương tiện'!$B:$B,'Hồ sơ phương tiện'!$X:$X),"")</f>
        <v>KHÔNG PHÙ HỢP</v>
      </c>
      <c r="L230" s="4" t="str">
        <f t="shared" si="9"/>
        <v>KHÔNG CHO PHÉP</v>
      </c>
    </row>
    <row r="231" spans="1:12" x14ac:dyDescent="0.3">
      <c r="A231" s="4">
        <f t="shared" si="8"/>
        <v>230</v>
      </c>
      <c r="G231" s="4">
        <f>IFERROR(_xlfn.XLOOKUP(F231,'Hồ sơ phương tiện'!$B:$B,'Hồ sơ phương tiện'!$E:$E),"")</f>
        <v>0</v>
      </c>
      <c r="J231" s="4" t="str">
        <f>IFERROR(_xlfn.XLOOKUP(F231,'Hồ sơ phương tiện'!$B:$B,'Hồ sơ phương tiện'!$N:$N),"")</f>
        <v>THIẾU</v>
      </c>
      <c r="K231" s="4" t="str">
        <f>IFERROR(_xlfn.XLOOKUP(F231,'Hồ sơ phương tiện'!$B:$B,'Hồ sơ phương tiện'!$X:$X),"")</f>
        <v>KHÔNG PHÙ HỢP</v>
      </c>
      <c r="L231" s="4" t="str">
        <f t="shared" si="9"/>
        <v>KHÔNG CHO PHÉP</v>
      </c>
    </row>
    <row r="232" spans="1:12" x14ac:dyDescent="0.3">
      <c r="A232" s="4">
        <f t="shared" si="8"/>
        <v>231</v>
      </c>
      <c r="G232" s="4">
        <f>IFERROR(_xlfn.XLOOKUP(F232,'Hồ sơ phương tiện'!$B:$B,'Hồ sơ phương tiện'!$E:$E),"")</f>
        <v>0</v>
      </c>
      <c r="J232" s="4" t="str">
        <f>IFERROR(_xlfn.XLOOKUP(F232,'Hồ sơ phương tiện'!$B:$B,'Hồ sơ phương tiện'!$N:$N),"")</f>
        <v>THIẾU</v>
      </c>
      <c r="K232" s="4" t="str">
        <f>IFERROR(_xlfn.XLOOKUP(F232,'Hồ sơ phương tiện'!$B:$B,'Hồ sơ phương tiện'!$X:$X),"")</f>
        <v>KHÔNG PHÙ HỢP</v>
      </c>
      <c r="L232" s="4" t="str">
        <f t="shared" si="9"/>
        <v>KHÔNG CHO PHÉP</v>
      </c>
    </row>
    <row r="233" spans="1:12" x14ac:dyDescent="0.3">
      <c r="A233" s="4">
        <f t="shared" si="8"/>
        <v>232</v>
      </c>
      <c r="G233" s="4">
        <f>IFERROR(_xlfn.XLOOKUP(F233,'Hồ sơ phương tiện'!$B:$B,'Hồ sơ phương tiện'!$E:$E),"")</f>
        <v>0</v>
      </c>
      <c r="J233" s="4" t="str">
        <f>IFERROR(_xlfn.XLOOKUP(F233,'Hồ sơ phương tiện'!$B:$B,'Hồ sơ phương tiện'!$N:$N),"")</f>
        <v>THIẾU</v>
      </c>
      <c r="K233" s="4" t="str">
        <f>IFERROR(_xlfn.XLOOKUP(F233,'Hồ sơ phương tiện'!$B:$B,'Hồ sơ phương tiện'!$X:$X),"")</f>
        <v>KHÔNG PHÙ HỢP</v>
      </c>
      <c r="L233" s="4" t="str">
        <f t="shared" si="9"/>
        <v>KHÔNG CHO PHÉP</v>
      </c>
    </row>
    <row r="234" spans="1:12" x14ac:dyDescent="0.3">
      <c r="A234" s="4">
        <f t="shared" si="8"/>
        <v>233</v>
      </c>
      <c r="G234" s="4">
        <f>IFERROR(_xlfn.XLOOKUP(F234,'Hồ sơ phương tiện'!$B:$B,'Hồ sơ phương tiện'!$E:$E),"")</f>
        <v>0</v>
      </c>
      <c r="J234" s="4" t="str">
        <f>IFERROR(_xlfn.XLOOKUP(F234,'Hồ sơ phương tiện'!$B:$B,'Hồ sơ phương tiện'!$N:$N),"")</f>
        <v>THIẾU</v>
      </c>
      <c r="K234" s="4" t="str">
        <f>IFERROR(_xlfn.XLOOKUP(F234,'Hồ sơ phương tiện'!$B:$B,'Hồ sơ phương tiện'!$X:$X),"")</f>
        <v>KHÔNG PHÙ HỢP</v>
      </c>
      <c r="L234" s="4" t="str">
        <f t="shared" si="9"/>
        <v>KHÔNG CHO PHÉP</v>
      </c>
    </row>
    <row r="235" spans="1:12" x14ac:dyDescent="0.3">
      <c r="A235" s="4">
        <f t="shared" si="8"/>
        <v>234</v>
      </c>
      <c r="G235" s="4">
        <f>IFERROR(_xlfn.XLOOKUP(F235,'Hồ sơ phương tiện'!$B:$B,'Hồ sơ phương tiện'!$E:$E),"")</f>
        <v>0</v>
      </c>
      <c r="J235" s="4" t="str">
        <f>IFERROR(_xlfn.XLOOKUP(F235,'Hồ sơ phương tiện'!$B:$B,'Hồ sơ phương tiện'!$N:$N),"")</f>
        <v>THIẾU</v>
      </c>
      <c r="K235" s="4" t="str">
        <f>IFERROR(_xlfn.XLOOKUP(F235,'Hồ sơ phương tiện'!$B:$B,'Hồ sơ phương tiện'!$X:$X),"")</f>
        <v>KHÔNG PHÙ HỢP</v>
      </c>
      <c r="L235" s="4" t="str">
        <f t="shared" si="9"/>
        <v>KHÔNG CHO PHÉP</v>
      </c>
    </row>
    <row r="236" spans="1:12" x14ac:dyDescent="0.3">
      <c r="A236" s="4">
        <f t="shared" si="8"/>
        <v>235</v>
      </c>
      <c r="G236" s="4">
        <f>IFERROR(_xlfn.XLOOKUP(F236,'Hồ sơ phương tiện'!$B:$B,'Hồ sơ phương tiện'!$E:$E),"")</f>
        <v>0</v>
      </c>
      <c r="J236" s="4" t="str">
        <f>IFERROR(_xlfn.XLOOKUP(F236,'Hồ sơ phương tiện'!$B:$B,'Hồ sơ phương tiện'!$N:$N),"")</f>
        <v>THIẾU</v>
      </c>
      <c r="K236" s="4" t="str">
        <f>IFERROR(_xlfn.XLOOKUP(F236,'Hồ sơ phương tiện'!$B:$B,'Hồ sơ phương tiện'!$X:$X),"")</f>
        <v>KHÔNG PHÙ HỢP</v>
      </c>
      <c r="L236" s="4" t="str">
        <f t="shared" si="9"/>
        <v>KHÔNG CHO PHÉP</v>
      </c>
    </row>
    <row r="237" spans="1:12" x14ac:dyDescent="0.3">
      <c r="A237" s="4">
        <f t="shared" si="8"/>
        <v>236</v>
      </c>
      <c r="G237" s="4">
        <f>IFERROR(_xlfn.XLOOKUP(F237,'Hồ sơ phương tiện'!$B:$B,'Hồ sơ phương tiện'!$E:$E),"")</f>
        <v>0</v>
      </c>
      <c r="J237" s="4" t="str">
        <f>IFERROR(_xlfn.XLOOKUP(F237,'Hồ sơ phương tiện'!$B:$B,'Hồ sơ phương tiện'!$N:$N),"")</f>
        <v>THIẾU</v>
      </c>
      <c r="K237" s="4" t="str">
        <f>IFERROR(_xlfn.XLOOKUP(F237,'Hồ sơ phương tiện'!$B:$B,'Hồ sơ phương tiện'!$X:$X),"")</f>
        <v>KHÔNG PHÙ HỢP</v>
      </c>
      <c r="L237" s="4" t="str">
        <f t="shared" si="9"/>
        <v>KHÔNG CHO PHÉP</v>
      </c>
    </row>
    <row r="238" spans="1:12" x14ac:dyDescent="0.3">
      <c r="A238" s="4">
        <f t="shared" si="8"/>
        <v>237</v>
      </c>
      <c r="G238" s="4">
        <f>IFERROR(_xlfn.XLOOKUP(F238,'Hồ sơ phương tiện'!$B:$B,'Hồ sơ phương tiện'!$E:$E),"")</f>
        <v>0</v>
      </c>
      <c r="J238" s="4" t="str">
        <f>IFERROR(_xlfn.XLOOKUP(F238,'Hồ sơ phương tiện'!$B:$B,'Hồ sơ phương tiện'!$N:$N),"")</f>
        <v>THIẾU</v>
      </c>
      <c r="K238" s="4" t="str">
        <f>IFERROR(_xlfn.XLOOKUP(F238,'Hồ sơ phương tiện'!$B:$B,'Hồ sơ phương tiện'!$X:$X),"")</f>
        <v>KHÔNG PHÙ HỢP</v>
      </c>
      <c r="L238" s="4" t="str">
        <f t="shared" si="9"/>
        <v>KHÔNG CHO PHÉP</v>
      </c>
    </row>
    <row r="239" spans="1:12" x14ac:dyDescent="0.3">
      <c r="A239" s="4">
        <f t="shared" si="8"/>
        <v>238</v>
      </c>
      <c r="G239" s="4">
        <f>IFERROR(_xlfn.XLOOKUP(F239,'Hồ sơ phương tiện'!$B:$B,'Hồ sơ phương tiện'!$E:$E),"")</f>
        <v>0</v>
      </c>
      <c r="J239" s="4" t="str">
        <f>IFERROR(_xlfn.XLOOKUP(F239,'Hồ sơ phương tiện'!$B:$B,'Hồ sơ phương tiện'!$N:$N),"")</f>
        <v>THIẾU</v>
      </c>
      <c r="K239" s="4" t="str">
        <f>IFERROR(_xlfn.XLOOKUP(F239,'Hồ sơ phương tiện'!$B:$B,'Hồ sơ phương tiện'!$X:$X),"")</f>
        <v>KHÔNG PHÙ HỢP</v>
      </c>
      <c r="L239" s="4" t="str">
        <f t="shared" si="9"/>
        <v>KHÔNG CHO PHÉP</v>
      </c>
    </row>
    <row r="240" spans="1:12" x14ac:dyDescent="0.3">
      <c r="A240" s="4">
        <f t="shared" si="8"/>
        <v>239</v>
      </c>
      <c r="G240" s="4">
        <f>IFERROR(_xlfn.XLOOKUP(F240,'Hồ sơ phương tiện'!$B:$B,'Hồ sơ phương tiện'!$E:$E),"")</f>
        <v>0</v>
      </c>
      <c r="J240" s="4" t="str">
        <f>IFERROR(_xlfn.XLOOKUP(F240,'Hồ sơ phương tiện'!$B:$B,'Hồ sơ phương tiện'!$N:$N),"")</f>
        <v>THIẾU</v>
      </c>
      <c r="K240" s="4" t="str">
        <f>IFERROR(_xlfn.XLOOKUP(F240,'Hồ sơ phương tiện'!$B:$B,'Hồ sơ phương tiện'!$X:$X),"")</f>
        <v>KHÔNG PHÙ HỢP</v>
      </c>
      <c r="L240" s="4" t="str">
        <f t="shared" si="9"/>
        <v>KHÔNG CHO PHÉP</v>
      </c>
    </row>
    <row r="241" spans="1:12" x14ac:dyDescent="0.3">
      <c r="A241" s="4">
        <f t="shared" si="8"/>
        <v>240</v>
      </c>
      <c r="G241" s="4">
        <f>IFERROR(_xlfn.XLOOKUP(F241,'Hồ sơ phương tiện'!$B:$B,'Hồ sơ phương tiện'!$E:$E),"")</f>
        <v>0</v>
      </c>
      <c r="J241" s="4" t="str">
        <f>IFERROR(_xlfn.XLOOKUP(F241,'Hồ sơ phương tiện'!$B:$B,'Hồ sơ phương tiện'!$N:$N),"")</f>
        <v>THIẾU</v>
      </c>
      <c r="K241" s="4" t="str">
        <f>IFERROR(_xlfn.XLOOKUP(F241,'Hồ sơ phương tiện'!$B:$B,'Hồ sơ phương tiện'!$X:$X),"")</f>
        <v>KHÔNG PHÙ HỢP</v>
      </c>
      <c r="L241" s="4" t="str">
        <f t="shared" si="9"/>
        <v>KHÔNG CHO PHÉP</v>
      </c>
    </row>
    <row r="242" spans="1:12" x14ac:dyDescent="0.3">
      <c r="A242" s="4">
        <f t="shared" si="8"/>
        <v>241</v>
      </c>
      <c r="G242" s="4">
        <f>IFERROR(_xlfn.XLOOKUP(F242,'Hồ sơ phương tiện'!$B:$B,'Hồ sơ phương tiện'!$E:$E),"")</f>
        <v>0</v>
      </c>
      <c r="J242" s="4" t="str">
        <f>IFERROR(_xlfn.XLOOKUP(F242,'Hồ sơ phương tiện'!$B:$B,'Hồ sơ phương tiện'!$N:$N),"")</f>
        <v>THIẾU</v>
      </c>
      <c r="K242" s="4" t="str">
        <f>IFERROR(_xlfn.XLOOKUP(F242,'Hồ sơ phương tiện'!$B:$B,'Hồ sơ phương tiện'!$X:$X),"")</f>
        <v>KHÔNG PHÙ HỢP</v>
      </c>
      <c r="L242" s="4" t="str">
        <f t="shared" si="9"/>
        <v>KHÔNG CHO PHÉP</v>
      </c>
    </row>
    <row r="243" spans="1:12" x14ac:dyDescent="0.3">
      <c r="A243" s="4">
        <f t="shared" si="8"/>
        <v>242</v>
      </c>
      <c r="G243" s="4">
        <f>IFERROR(_xlfn.XLOOKUP(F243,'Hồ sơ phương tiện'!$B:$B,'Hồ sơ phương tiện'!$E:$E),"")</f>
        <v>0</v>
      </c>
      <c r="J243" s="4" t="str">
        <f>IFERROR(_xlfn.XLOOKUP(F243,'Hồ sơ phương tiện'!$B:$B,'Hồ sơ phương tiện'!$N:$N),"")</f>
        <v>THIẾU</v>
      </c>
      <c r="K243" s="4" t="str">
        <f>IFERROR(_xlfn.XLOOKUP(F243,'Hồ sơ phương tiện'!$B:$B,'Hồ sơ phương tiện'!$X:$X),"")</f>
        <v>KHÔNG PHÙ HỢP</v>
      </c>
      <c r="L243" s="4" t="str">
        <f t="shared" si="9"/>
        <v>KHÔNG CHO PHÉP</v>
      </c>
    </row>
    <row r="244" spans="1:12" x14ac:dyDescent="0.3">
      <c r="A244" s="4">
        <f t="shared" si="8"/>
        <v>243</v>
      </c>
      <c r="G244" s="4">
        <f>IFERROR(_xlfn.XLOOKUP(F244,'Hồ sơ phương tiện'!$B:$B,'Hồ sơ phương tiện'!$E:$E),"")</f>
        <v>0</v>
      </c>
      <c r="J244" s="4" t="str">
        <f>IFERROR(_xlfn.XLOOKUP(F244,'Hồ sơ phương tiện'!$B:$B,'Hồ sơ phương tiện'!$N:$N),"")</f>
        <v>THIẾU</v>
      </c>
      <c r="K244" s="4" t="str">
        <f>IFERROR(_xlfn.XLOOKUP(F244,'Hồ sơ phương tiện'!$B:$B,'Hồ sơ phương tiện'!$X:$X),"")</f>
        <v>KHÔNG PHÙ HỢP</v>
      </c>
      <c r="L244" s="4" t="str">
        <f t="shared" si="9"/>
        <v>KHÔNG CHO PHÉP</v>
      </c>
    </row>
    <row r="245" spans="1:12" x14ac:dyDescent="0.3">
      <c r="A245" s="4">
        <f t="shared" si="8"/>
        <v>244</v>
      </c>
      <c r="G245" s="4">
        <f>IFERROR(_xlfn.XLOOKUP(F245,'Hồ sơ phương tiện'!$B:$B,'Hồ sơ phương tiện'!$E:$E),"")</f>
        <v>0</v>
      </c>
      <c r="J245" s="4" t="str">
        <f>IFERROR(_xlfn.XLOOKUP(F245,'Hồ sơ phương tiện'!$B:$B,'Hồ sơ phương tiện'!$N:$N),"")</f>
        <v>THIẾU</v>
      </c>
      <c r="K245" s="4" t="str">
        <f>IFERROR(_xlfn.XLOOKUP(F245,'Hồ sơ phương tiện'!$B:$B,'Hồ sơ phương tiện'!$X:$X),"")</f>
        <v>KHÔNG PHÙ HỢP</v>
      </c>
      <c r="L245" s="4" t="str">
        <f t="shared" si="9"/>
        <v>KHÔNG CHO PHÉP</v>
      </c>
    </row>
    <row r="246" spans="1:12" x14ac:dyDescent="0.3">
      <c r="A246" s="4">
        <f t="shared" si="8"/>
        <v>245</v>
      </c>
      <c r="G246" s="4">
        <f>IFERROR(_xlfn.XLOOKUP(F246,'Hồ sơ phương tiện'!$B:$B,'Hồ sơ phương tiện'!$E:$E),"")</f>
        <v>0</v>
      </c>
      <c r="J246" s="4" t="str">
        <f>IFERROR(_xlfn.XLOOKUP(F246,'Hồ sơ phương tiện'!$B:$B,'Hồ sơ phương tiện'!$N:$N),"")</f>
        <v>THIẾU</v>
      </c>
      <c r="K246" s="4" t="str">
        <f>IFERROR(_xlfn.XLOOKUP(F246,'Hồ sơ phương tiện'!$B:$B,'Hồ sơ phương tiện'!$X:$X),"")</f>
        <v>KHÔNG PHÙ HỢP</v>
      </c>
      <c r="L246" s="4" t="str">
        <f t="shared" si="9"/>
        <v>KHÔNG CHO PHÉP</v>
      </c>
    </row>
    <row r="247" spans="1:12" x14ac:dyDescent="0.3">
      <c r="A247" s="4">
        <f t="shared" si="8"/>
        <v>246</v>
      </c>
      <c r="G247" s="4">
        <f>IFERROR(_xlfn.XLOOKUP(F247,'Hồ sơ phương tiện'!$B:$B,'Hồ sơ phương tiện'!$E:$E),"")</f>
        <v>0</v>
      </c>
      <c r="J247" s="4" t="str">
        <f>IFERROR(_xlfn.XLOOKUP(F247,'Hồ sơ phương tiện'!$B:$B,'Hồ sơ phương tiện'!$N:$N),"")</f>
        <v>THIẾU</v>
      </c>
      <c r="K247" s="4" t="str">
        <f>IFERROR(_xlfn.XLOOKUP(F247,'Hồ sơ phương tiện'!$B:$B,'Hồ sơ phương tiện'!$X:$X),"")</f>
        <v>KHÔNG PHÙ HỢP</v>
      </c>
      <c r="L247" s="4" t="str">
        <f t="shared" si="9"/>
        <v>KHÔNG CHO PHÉP</v>
      </c>
    </row>
    <row r="248" spans="1:12" x14ac:dyDescent="0.3">
      <c r="A248" s="4">
        <f t="shared" si="8"/>
        <v>247</v>
      </c>
      <c r="G248" s="4">
        <f>IFERROR(_xlfn.XLOOKUP(F248,'Hồ sơ phương tiện'!$B:$B,'Hồ sơ phương tiện'!$E:$E),"")</f>
        <v>0</v>
      </c>
      <c r="J248" s="4" t="str">
        <f>IFERROR(_xlfn.XLOOKUP(F248,'Hồ sơ phương tiện'!$B:$B,'Hồ sơ phương tiện'!$N:$N),"")</f>
        <v>THIẾU</v>
      </c>
      <c r="K248" s="4" t="str">
        <f>IFERROR(_xlfn.XLOOKUP(F248,'Hồ sơ phương tiện'!$B:$B,'Hồ sơ phương tiện'!$X:$X),"")</f>
        <v>KHÔNG PHÙ HỢP</v>
      </c>
      <c r="L248" s="4" t="str">
        <f t="shared" si="9"/>
        <v>KHÔNG CHO PHÉP</v>
      </c>
    </row>
    <row r="249" spans="1:12" x14ac:dyDescent="0.3">
      <c r="A249" s="4">
        <f t="shared" si="8"/>
        <v>248</v>
      </c>
      <c r="G249" s="4">
        <f>IFERROR(_xlfn.XLOOKUP(F249,'Hồ sơ phương tiện'!$B:$B,'Hồ sơ phương tiện'!$E:$E),"")</f>
        <v>0</v>
      </c>
      <c r="J249" s="4" t="str">
        <f>IFERROR(_xlfn.XLOOKUP(F249,'Hồ sơ phương tiện'!$B:$B,'Hồ sơ phương tiện'!$N:$N),"")</f>
        <v>THIẾU</v>
      </c>
      <c r="K249" s="4" t="str">
        <f>IFERROR(_xlfn.XLOOKUP(F249,'Hồ sơ phương tiện'!$B:$B,'Hồ sơ phương tiện'!$X:$X),"")</f>
        <v>KHÔNG PHÙ HỢP</v>
      </c>
      <c r="L249" s="4" t="str">
        <f t="shared" si="9"/>
        <v>KHÔNG CHO PHÉP</v>
      </c>
    </row>
    <row r="250" spans="1:12" x14ac:dyDescent="0.3">
      <c r="A250" s="4">
        <f t="shared" si="8"/>
        <v>249</v>
      </c>
      <c r="G250" s="4">
        <f>IFERROR(_xlfn.XLOOKUP(F250,'Hồ sơ phương tiện'!$B:$B,'Hồ sơ phương tiện'!$E:$E),"")</f>
        <v>0</v>
      </c>
      <c r="J250" s="4" t="str">
        <f>IFERROR(_xlfn.XLOOKUP(F250,'Hồ sơ phương tiện'!$B:$B,'Hồ sơ phương tiện'!$N:$N),"")</f>
        <v>THIẾU</v>
      </c>
      <c r="K250" s="4" t="str">
        <f>IFERROR(_xlfn.XLOOKUP(F250,'Hồ sơ phương tiện'!$B:$B,'Hồ sơ phương tiện'!$X:$X),"")</f>
        <v>KHÔNG PHÙ HỢP</v>
      </c>
      <c r="L250" s="4" t="str">
        <f t="shared" si="9"/>
        <v>KHÔNG CHO PHÉP</v>
      </c>
    </row>
    <row r="251" spans="1:12" x14ac:dyDescent="0.3">
      <c r="A251" s="4">
        <f t="shared" si="8"/>
        <v>250</v>
      </c>
      <c r="G251" s="4">
        <f>IFERROR(_xlfn.XLOOKUP(F251,'Hồ sơ phương tiện'!$B:$B,'Hồ sơ phương tiện'!$E:$E),"")</f>
        <v>0</v>
      </c>
      <c r="J251" s="4" t="str">
        <f>IFERROR(_xlfn.XLOOKUP(F251,'Hồ sơ phương tiện'!$B:$B,'Hồ sơ phương tiện'!$N:$N),"")</f>
        <v>THIẾU</v>
      </c>
      <c r="K251" s="4" t="str">
        <f>IFERROR(_xlfn.XLOOKUP(F251,'Hồ sơ phương tiện'!$B:$B,'Hồ sơ phương tiện'!$X:$X),"")</f>
        <v>KHÔNG PHÙ HỢP</v>
      </c>
      <c r="L251" s="4" t="str">
        <f t="shared" si="9"/>
        <v>KHÔNG CHO PHÉP</v>
      </c>
    </row>
    <row r="252" spans="1:12" x14ac:dyDescent="0.3">
      <c r="A252" s="4">
        <f t="shared" si="8"/>
        <v>251</v>
      </c>
      <c r="G252" s="4">
        <f>IFERROR(_xlfn.XLOOKUP(F252,'Hồ sơ phương tiện'!$B:$B,'Hồ sơ phương tiện'!$E:$E),"")</f>
        <v>0</v>
      </c>
      <c r="J252" s="4" t="str">
        <f>IFERROR(_xlfn.XLOOKUP(F252,'Hồ sơ phương tiện'!$B:$B,'Hồ sơ phương tiện'!$N:$N),"")</f>
        <v>THIẾU</v>
      </c>
      <c r="K252" s="4" t="str">
        <f>IFERROR(_xlfn.XLOOKUP(F252,'Hồ sơ phương tiện'!$B:$B,'Hồ sơ phương tiện'!$X:$X),"")</f>
        <v>KHÔNG PHÙ HỢP</v>
      </c>
      <c r="L252" s="4" t="str">
        <f t="shared" si="9"/>
        <v>KHÔNG CHO PHÉP</v>
      </c>
    </row>
    <row r="253" spans="1:12" x14ac:dyDescent="0.3">
      <c r="A253" s="4">
        <f t="shared" si="8"/>
        <v>252</v>
      </c>
      <c r="G253" s="4">
        <f>IFERROR(_xlfn.XLOOKUP(F253,'Hồ sơ phương tiện'!$B:$B,'Hồ sơ phương tiện'!$E:$E),"")</f>
        <v>0</v>
      </c>
      <c r="J253" s="4" t="str">
        <f>IFERROR(_xlfn.XLOOKUP(F253,'Hồ sơ phương tiện'!$B:$B,'Hồ sơ phương tiện'!$N:$N),"")</f>
        <v>THIẾU</v>
      </c>
      <c r="K253" s="4" t="str">
        <f>IFERROR(_xlfn.XLOOKUP(F253,'Hồ sơ phương tiện'!$B:$B,'Hồ sơ phương tiện'!$X:$X),"")</f>
        <v>KHÔNG PHÙ HỢP</v>
      </c>
      <c r="L253" s="4" t="str">
        <f t="shared" si="9"/>
        <v>KHÔNG CHO PHÉP</v>
      </c>
    </row>
    <row r="254" spans="1:12" x14ac:dyDescent="0.3">
      <c r="A254" s="4">
        <f t="shared" si="8"/>
        <v>253</v>
      </c>
      <c r="G254" s="4">
        <f>IFERROR(_xlfn.XLOOKUP(F254,'Hồ sơ phương tiện'!$B:$B,'Hồ sơ phương tiện'!$E:$E),"")</f>
        <v>0</v>
      </c>
      <c r="J254" s="4" t="str">
        <f>IFERROR(_xlfn.XLOOKUP(F254,'Hồ sơ phương tiện'!$B:$B,'Hồ sơ phương tiện'!$N:$N),"")</f>
        <v>THIẾU</v>
      </c>
      <c r="K254" s="4" t="str">
        <f>IFERROR(_xlfn.XLOOKUP(F254,'Hồ sơ phương tiện'!$B:$B,'Hồ sơ phương tiện'!$X:$X),"")</f>
        <v>KHÔNG PHÙ HỢP</v>
      </c>
      <c r="L254" s="4" t="str">
        <f t="shared" si="9"/>
        <v>KHÔNG CHO PHÉP</v>
      </c>
    </row>
    <row r="255" spans="1:12" x14ac:dyDescent="0.3">
      <c r="A255" s="4">
        <f t="shared" si="8"/>
        <v>254</v>
      </c>
      <c r="G255" s="4">
        <f>IFERROR(_xlfn.XLOOKUP(F255,'Hồ sơ phương tiện'!$B:$B,'Hồ sơ phương tiện'!$E:$E),"")</f>
        <v>0</v>
      </c>
      <c r="J255" s="4" t="str">
        <f>IFERROR(_xlfn.XLOOKUP(F255,'Hồ sơ phương tiện'!$B:$B,'Hồ sơ phương tiện'!$N:$N),"")</f>
        <v>THIẾU</v>
      </c>
      <c r="K255" s="4" t="str">
        <f>IFERROR(_xlfn.XLOOKUP(F255,'Hồ sơ phương tiện'!$B:$B,'Hồ sơ phương tiện'!$X:$X),"")</f>
        <v>KHÔNG PHÙ HỢP</v>
      </c>
      <c r="L255" s="4" t="str">
        <f t="shared" si="9"/>
        <v>KHÔNG CHO PHÉP</v>
      </c>
    </row>
    <row r="256" spans="1:12" x14ac:dyDescent="0.3">
      <c r="A256" s="4">
        <f t="shared" si="8"/>
        <v>255</v>
      </c>
      <c r="G256" s="4">
        <f>IFERROR(_xlfn.XLOOKUP(F256,'Hồ sơ phương tiện'!$B:$B,'Hồ sơ phương tiện'!$E:$E),"")</f>
        <v>0</v>
      </c>
      <c r="J256" s="4" t="str">
        <f>IFERROR(_xlfn.XLOOKUP(F256,'Hồ sơ phương tiện'!$B:$B,'Hồ sơ phương tiện'!$N:$N),"")</f>
        <v>THIẾU</v>
      </c>
      <c r="K256" s="4" t="str">
        <f>IFERROR(_xlfn.XLOOKUP(F256,'Hồ sơ phương tiện'!$B:$B,'Hồ sơ phương tiện'!$X:$X),"")</f>
        <v>KHÔNG PHÙ HỢP</v>
      </c>
      <c r="L256" s="4" t="str">
        <f t="shared" si="9"/>
        <v>KHÔNG CHO PHÉP</v>
      </c>
    </row>
    <row r="257" spans="1:12" x14ac:dyDescent="0.3">
      <c r="A257" s="4">
        <f t="shared" si="8"/>
        <v>256</v>
      </c>
      <c r="G257" s="4">
        <f>IFERROR(_xlfn.XLOOKUP(F257,'Hồ sơ phương tiện'!$B:$B,'Hồ sơ phương tiện'!$E:$E),"")</f>
        <v>0</v>
      </c>
      <c r="J257" s="4" t="str">
        <f>IFERROR(_xlfn.XLOOKUP(F257,'Hồ sơ phương tiện'!$B:$B,'Hồ sơ phương tiện'!$N:$N),"")</f>
        <v>THIẾU</v>
      </c>
      <c r="K257" s="4" t="str">
        <f>IFERROR(_xlfn.XLOOKUP(F257,'Hồ sơ phương tiện'!$B:$B,'Hồ sơ phương tiện'!$X:$X),"")</f>
        <v>KHÔNG PHÙ HỢP</v>
      </c>
      <c r="L257" s="4" t="str">
        <f t="shared" si="9"/>
        <v>KHÔNG CHO PHÉP</v>
      </c>
    </row>
    <row r="258" spans="1:12" x14ac:dyDescent="0.3">
      <c r="A258" s="4">
        <f t="shared" ref="A258:A321" si="10">ROW()-1</f>
        <v>257</v>
      </c>
      <c r="G258" s="4">
        <f>IFERROR(_xlfn.XLOOKUP(F258,'Hồ sơ phương tiện'!$B:$B,'Hồ sơ phương tiện'!$E:$E),"")</f>
        <v>0</v>
      </c>
      <c r="J258" s="4" t="str">
        <f>IFERROR(_xlfn.XLOOKUP(F258,'Hồ sơ phương tiện'!$B:$B,'Hồ sơ phương tiện'!$N:$N),"")</f>
        <v>THIẾU</v>
      </c>
      <c r="K258" s="4" t="str">
        <f>IFERROR(_xlfn.XLOOKUP(F258,'Hồ sơ phương tiện'!$B:$B,'Hồ sơ phương tiện'!$X:$X),"")</f>
        <v>KHÔNG PHÙ HỢP</v>
      </c>
      <c r="L258" s="4" t="str">
        <f t="shared" si="9"/>
        <v>KHÔNG CHO PHÉP</v>
      </c>
    </row>
    <row r="259" spans="1:12" x14ac:dyDescent="0.3">
      <c r="A259" s="4">
        <f t="shared" si="10"/>
        <v>258</v>
      </c>
      <c r="G259" s="4">
        <f>IFERROR(_xlfn.XLOOKUP(F259,'Hồ sơ phương tiện'!$B:$B,'Hồ sơ phương tiện'!$E:$E),"")</f>
        <v>0</v>
      </c>
      <c r="J259" s="4" t="str">
        <f>IFERROR(_xlfn.XLOOKUP(F259,'Hồ sơ phương tiện'!$B:$B,'Hồ sơ phương tiện'!$N:$N),"")</f>
        <v>THIẾU</v>
      </c>
      <c r="K259" s="4" t="str">
        <f>IFERROR(_xlfn.XLOOKUP(F259,'Hồ sơ phương tiện'!$B:$B,'Hồ sơ phương tiện'!$X:$X),"")</f>
        <v>KHÔNG PHÙ HỢP</v>
      </c>
      <c r="L259" s="4" t="str">
        <f t="shared" si="9"/>
        <v>KHÔNG CHO PHÉP</v>
      </c>
    </row>
    <row r="260" spans="1:12" x14ac:dyDescent="0.3">
      <c r="A260" s="4">
        <f t="shared" si="10"/>
        <v>259</v>
      </c>
      <c r="G260" s="4">
        <f>IFERROR(_xlfn.XLOOKUP(F260,'Hồ sơ phương tiện'!$B:$B,'Hồ sơ phương tiện'!$E:$E),"")</f>
        <v>0</v>
      </c>
      <c r="J260" s="4" t="str">
        <f>IFERROR(_xlfn.XLOOKUP(F260,'Hồ sơ phương tiện'!$B:$B,'Hồ sơ phương tiện'!$N:$N),"")</f>
        <v>THIẾU</v>
      </c>
      <c r="K260" s="4" t="str">
        <f>IFERROR(_xlfn.XLOOKUP(F260,'Hồ sơ phương tiện'!$B:$B,'Hồ sơ phương tiện'!$X:$X),"")</f>
        <v>KHÔNG PHÙ HỢP</v>
      </c>
      <c r="L260" s="4" t="str">
        <f t="shared" si="9"/>
        <v>KHÔNG CHO PHÉP</v>
      </c>
    </row>
    <row r="261" spans="1:12" x14ac:dyDescent="0.3">
      <c r="A261" s="4">
        <f t="shared" si="10"/>
        <v>260</v>
      </c>
      <c r="G261" s="4">
        <f>IFERROR(_xlfn.XLOOKUP(F261,'Hồ sơ phương tiện'!$B:$B,'Hồ sơ phương tiện'!$E:$E),"")</f>
        <v>0</v>
      </c>
      <c r="J261" s="4" t="str">
        <f>IFERROR(_xlfn.XLOOKUP(F261,'Hồ sơ phương tiện'!$B:$B,'Hồ sơ phương tiện'!$N:$N),"")</f>
        <v>THIẾU</v>
      </c>
      <c r="K261" s="4" t="str">
        <f>IFERROR(_xlfn.XLOOKUP(F261,'Hồ sơ phương tiện'!$B:$B,'Hồ sơ phương tiện'!$X:$X),"")</f>
        <v>KHÔNG PHÙ HỢP</v>
      </c>
      <c r="L261" s="4" t="str">
        <f t="shared" ref="L261:L324" si="11">IF(AND(J261="Đủ",K261="PHÙ HỢP"),"CHO PHÉP","KHÔNG CHO PHÉP")</f>
        <v>KHÔNG CHO PHÉP</v>
      </c>
    </row>
    <row r="262" spans="1:12" x14ac:dyDescent="0.3">
      <c r="A262" s="4">
        <f t="shared" si="10"/>
        <v>261</v>
      </c>
      <c r="G262" s="4">
        <f>IFERROR(_xlfn.XLOOKUP(F262,'Hồ sơ phương tiện'!$B:$B,'Hồ sơ phương tiện'!$E:$E),"")</f>
        <v>0</v>
      </c>
      <c r="J262" s="4" t="str">
        <f>IFERROR(_xlfn.XLOOKUP(F262,'Hồ sơ phương tiện'!$B:$B,'Hồ sơ phương tiện'!$N:$N),"")</f>
        <v>THIẾU</v>
      </c>
      <c r="K262" s="4" t="str">
        <f>IFERROR(_xlfn.XLOOKUP(F262,'Hồ sơ phương tiện'!$B:$B,'Hồ sơ phương tiện'!$X:$X),"")</f>
        <v>KHÔNG PHÙ HỢP</v>
      </c>
      <c r="L262" s="4" t="str">
        <f t="shared" si="11"/>
        <v>KHÔNG CHO PHÉP</v>
      </c>
    </row>
    <row r="263" spans="1:12" x14ac:dyDescent="0.3">
      <c r="A263" s="4">
        <f t="shared" si="10"/>
        <v>262</v>
      </c>
      <c r="G263" s="4">
        <f>IFERROR(_xlfn.XLOOKUP(F263,'Hồ sơ phương tiện'!$B:$B,'Hồ sơ phương tiện'!$E:$E),"")</f>
        <v>0</v>
      </c>
      <c r="J263" s="4" t="str">
        <f>IFERROR(_xlfn.XLOOKUP(F263,'Hồ sơ phương tiện'!$B:$B,'Hồ sơ phương tiện'!$N:$N),"")</f>
        <v>THIẾU</v>
      </c>
      <c r="K263" s="4" t="str">
        <f>IFERROR(_xlfn.XLOOKUP(F263,'Hồ sơ phương tiện'!$B:$B,'Hồ sơ phương tiện'!$X:$X),"")</f>
        <v>KHÔNG PHÙ HỢP</v>
      </c>
      <c r="L263" s="4" t="str">
        <f t="shared" si="11"/>
        <v>KHÔNG CHO PHÉP</v>
      </c>
    </row>
    <row r="264" spans="1:12" x14ac:dyDescent="0.3">
      <c r="A264" s="4">
        <f t="shared" si="10"/>
        <v>263</v>
      </c>
      <c r="G264" s="4">
        <f>IFERROR(_xlfn.XLOOKUP(F264,'Hồ sơ phương tiện'!$B:$B,'Hồ sơ phương tiện'!$E:$E),"")</f>
        <v>0</v>
      </c>
      <c r="J264" s="4" t="str">
        <f>IFERROR(_xlfn.XLOOKUP(F264,'Hồ sơ phương tiện'!$B:$B,'Hồ sơ phương tiện'!$N:$N),"")</f>
        <v>THIẾU</v>
      </c>
      <c r="K264" s="4" t="str">
        <f>IFERROR(_xlfn.XLOOKUP(F264,'Hồ sơ phương tiện'!$B:$B,'Hồ sơ phương tiện'!$X:$X),"")</f>
        <v>KHÔNG PHÙ HỢP</v>
      </c>
      <c r="L264" s="4" t="str">
        <f t="shared" si="11"/>
        <v>KHÔNG CHO PHÉP</v>
      </c>
    </row>
    <row r="265" spans="1:12" x14ac:dyDescent="0.3">
      <c r="A265" s="4">
        <f t="shared" si="10"/>
        <v>264</v>
      </c>
      <c r="G265" s="4">
        <f>IFERROR(_xlfn.XLOOKUP(F265,'Hồ sơ phương tiện'!$B:$B,'Hồ sơ phương tiện'!$E:$E),"")</f>
        <v>0</v>
      </c>
      <c r="J265" s="4" t="str">
        <f>IFERROR(_xlfn.XLOOKUP(F265,'Hồ sơ phương tiện'!$B:$B,'Hồ sơ phương tiện'!$N:$N),"")</f>
        <v>THIẾU</v>
      </c>
      <c r="K265" s="4" t="str">
        <f>IFERROR(_xlfn.XLOOKUP(F265,'Hồ sơ phương tiện'!$B:$B,'Hồ sơ phương tiện'!$X:$X),"")</f>
        <v>KHÔNG PHÙ HỢP</v>
      </c>
      <c r="L265" s="4" t="str">
        <f t="shared" si="11"/>
        <v>KHÔNG CHO PHÉP</v>
      </c>
    </row>
    <row r="266" spans="1:12" x14ac:dyDescent="0.3">
      <c r="A266" s="4">
        <f t="shared" si="10"/>
        <v>265</v>
      </c>
      <c r="G266" s="4">
        <f>IFERROR(_xlfn.XLOOKUP(F266,'Hồ sơ phương tiện'!$B:$B,'Hồ sơ phương tiện'!$E:$E),"")</f>
        <v>0</v>
      </c>
      <c r="J266" s="4" t="str">
        <f>IFERROR(_xlfn.XLOOKUP(F266,'Hồ sơ phương tiện'!$B:$B,'Hồ sơ phương tiện'!$N:$N),"")</f>
        <v>THIẾU</v>
      </c>
      <c r="K266" s="4" t="str">
        <f>IFERROR(_xlfn.XLOOKUP(F266,'Hồ sơ phương tiện'!$B:$B,'Hồ sơ phương tiện'!$X:$X),"")</f>
        <v>KHÔNG PHÙ HỢP</v>
      </c>
      <c r="L266" s="4" t="str">
        <f t="shared" si="11"/>
        <v>KHÔNG CHO PHÉP</v>
      </c>
    </row>
    <row r="267" spans="1:12" x14ac:dyDescent="0.3">
      <c r="A267" s="4">
        <f t="shared" si="10"/>
        <v>266</v>
      </c>
      <c r="G267" s="4">
        <f>IFERROR(_xlfn.XLOOKUP(F267,'Hồ sơ phương tiện'!$B:$B,'Hồ sơ phương tiện'!$E:$E),"")</f>
        <v>0</v>
      </c>
      <c r="J267" s="4" t="str">
        <f>IFERROR(_xlfn.XLOOKUP(F267,'Hồ sơ phương tiện'!$B:$B,'Hồ sơ phương tiện'!$N:$N),"")</f>
        <v>THIẾU</v>
      </c>
      <c r="K267" s="4" t="str">
        <f>IFERROR(_xlfn.XLOOKUP(F267,'Hồ sơ phương tiện'!$B:$B,'Hồ sơ phương tiện'!$X:$X),"")</f>
        <v>KHÔNG PHÙ HỢP</v>
      </c>
      <c r="L267" s="4" t="str">
        <f t="shared" si="11"/>
        <v>KHÔNG CHO PHÉP</v>
      </c>
    </row>
    <row r="268" spans="1:12" x14ac:dyDescent="0.3">
      <c r="A268" s="4">
        <f t="shared" si="10"/>
        <v>267</v>
      </c>
      <c r="G268" s="4">
        <f>IFERROR(_xlfn.XLOOKUP(F268,'Hồ sơ phương tiện'!$B:$B,'Hồ sơ phương tiện'!$E:$E),"")</f>
        <v>0</v>
      </c>
      <c r="J268" s="4" t="str">
        <f>IFERROR(_xlfn.XLOOKUP(F268,'Hồ sơ phương tiện'!$B:$B,'Hồ sơ phương tiện'!$N:$N),"")</f>
        <v>THIẾU</v>
      </c>
      <c r="K268" s="4" t="str">
        <f>IFERROR(_xlfn.XLOOKUP(F268,'Hồ sơ phương tiện'!$B:$B,'Hồ sơ phương tiện'!$X:$X),"")</f>
        <v>KHÔNG PHÙ HỢP</v>
      </c>
      <c r="L268" s="4" t="str">
        <f t="shared" si="11"/>
        <v>KHÔNG CHO PHÉP</v>
      </c>
    </row>
    <row r="269" spans="1:12" x14ac:dyDescent="0.3">
      <c r="A269" s="4">
        <f t="shared" si="10"/>
        <v>268</v>
      </c>
      <c r="G269" s="4">
        <f>IFERROR(_xlfn.XLOOKUP(F269,'Hồ sơ phương tiện'!$B:$B,'Hồ sơ phương tiện'!$E:$E),"")</f>
        <v>0</v>
      </c>
      <c r="J269" s="4" t="str">
        <f>IFERROR(_xlfn.XLOOKUP(F269,'Hồ sơ phương tiện'!$B:$B,'Hồ sơ phương tiện'!$N:$N),"")</f>
        <v>THIẾU</v>
      </c>
      <c r="K269" s="4" t="str">
        <f>IFERROR(_xlfn.XLOOKUP(F269,'Hồ sơ phương tiện'!$B:$B,'Hồ sơ phương tiện'!$X:$X),"")</f>
        <v>KHÔNG PHÙ HỢP</v>
      </c>
      <c r="L269" s="4" t="str">
        <f t="shared" si="11"/>
        <v>KHÔNG CHO PHÉP</v>
      </c>
    </row>
    <row r="270" spans="1:12" x14ac:dyDescent="0.3">
      <c r="A270" s="4">
        <f t="shared" si="10"/>
        <v>269</v>
      </c>
      <c r="G270" s="4">
        <f>IFERROR(_xlfn.XLOOKUP(F270,'Hồ sơ phương tiện'!$B:$B,'Hồ sơ phương tiện'!$E:$E),"")</f>
        <v>0</v>
      </c>
      <c r="J270" s="4" t="str">
        <f>IFERROR(_xlfn.XLOOKUP(F270,'Hồ sơ phương tiện'!$B:$B,'Hồ sơ phương tiện'!$N:$N),"")</f>
        <v>THIẾU</v>
      </c>
      <c r="K270" s="4" t="str">
        <f>IFERROR(_xlfn.XLOOKUP(F270,'Hồ sơ phương tiện'!$B:$B,'Hồ sơ phương tiện'!$X:$X),"")</f>
        <v>KHÔNG PHÙ HỢP</v>
      </c>
      <c r="L270" s="4" t="str">
        <f t="shared" si="11"/>
        <v>KHÔNG CHO PHÉP</v>
      </c>
    </row>
    <row r="271" spans="1:12" x14ac:dyDescent="0.3">
      <c r="A271" s="4">
        <f t="shared" si="10"/>
        <v>270</v>
      </c>
      <c r="G271" s="4">
        <f>IFERROR(_xlfn.XLOOKUP(F271,'Hồ sơ phương tiện'!$B:$B,'Hồ sơ phương tiện'!$E:$E),"")</f>
        <v>0</v>
      </c>
      <c r="J271" s="4" t="str">
        <f>IFERROR(_xlfn.XLOOKUP(F271,'Hồ sơ phương tiện'!$B:$B,'Hồ sơ phương tiện'!$N:$N),"")</f>
        <v>THIẾU</v>
      </c>
      <c r="K271" s="4" t="str">
        <f>IFERROR(_xlfn.XLOOKUP(F271,'Hồ sơ phương tiện'!$B:$B,'Hồ sơ phương tiện'!$X:$X),"")</f>
        <v>KHÔNG PHÙ HỢP</v>
      </c>
      <c r="L271" s="4" t="str">
        <f t="shared" si="11"/>
        <v>KHÔNG CHO PHÉP</v>
      </c>
    </row>
    <row r="272" spans="1:12" x14ac:dyDescent="0.3">
      <c r="A272" s="4">
        <f t="shared" si="10"/>
        <v>271</v>
      </c>
      <c r="G272" s="4">
        <f>IFERROR(_xlfn.XLOOKUP(F272,'Hồ sơ phương tiện'!$B:$B,'Hồ sơ phương tiện'!$E:$E),"")</f>
        <v>0</v>
      </c>
      <c r="J272" s="4" t="str">
        <f>IFERROR(_xlfn.XLOOKUP(F272,'Hồ sơ phương tiện'!$B:$B,'Hồ sơ phương tiện'!$N:$N),"")</f>
        <v>THIẾU</v>
      </c>
      <c r="K272" s="4" t="str">
        <f>IFERROR(_xlfn.XLOOKUP(F272,'Hồ sơ phương tiện'!$B:$B,'Hồ sơ phương tiện'!$X:$X),"")</f>
        <v>KHÔNG PHÙ HỢP</v>
      </c>
      <c r="L272" s="4" t="str">
        <f t="shared" si="11"/>
        <v>KHÔNG CHO PHÉP</v>
      </c>
    </row>
    <row r="273" spans="1:12" x14ac:dyDescent="0.3">
      <c r="A273" s="4">
        <f t="shared" si="10"/>
        <v>272</v>
      </c>
      <c r="G273" s="4">
        <f>IFERROR(_xlfn.XLOOKUP(F273,'Hồ sơ phương tiện'!$B:$B,'Hồ sơ phương tiện'!$E:$E),"")</f>
        <v>0</v>
      </c>
      <c r="J273" s="4" t="str">
        <f>IFERROR(_xlfn.XLOOKUP(F273,'Hồ sơ phương tiện'!$B:$B,'Hồ sơ phương tiện'!$N:$N),"")</f>
        <v>THIẾU</v>
      </c>
      <c r="K273" s="4" t="str">
        <f>IFERROR(_xlfn.XLOOKUP(F273,'Hồ sơ phương tiện'!$B:$B,'Hồ sơ phương tiện'!$X:$X),"")</f>
        <v>KHÔNG PHÙ HỢP</v>
      </c>
      <c r="L273" s="4" t="str">
        <f t="shared" si="11"/>
        <v>KHÔNG CHO PHÉP</v>
      </c>
    </row>
    <row r="274" spans="1:12" x14ac:dyDescent="0.3">
      <c r="A274" s="4">
        <f t="shared" si="10"/>
        <v>273</v>
      </c>
      <c r="G274" s="4">
        <f>IFERROR(_xlfn.XLOOKUP(F274,'Hồ sơ phương tiện'!$B:$B,'Hồ sơ phương tiện'!$E:$E),"")</f>
        <v>0</v>
      </c>
      <c r="J274" s="4" t="str">
        <f>IFERROR(_xlfn.XLOOKUP(F274,'Hồ sơ phương tiện'!$B:$B,'Hồ sơ phương tiện'!$N:$N),"")</f>
        <v>THIẾU</v>
      </c>
      <c r="K274" s="4" t="str">
        <f>IFERROR(_xlfn.XLOOKUP(F274,'Hồ sơ phương tiện'!$B:$B,'Hồ sơ phương tiện'!$X:$X),"")</f>
        <v>KHÔNG PHÙ HỢP</v>
      </c>
      <c r="L274" s="4" t="str">
        <f t="shared" si="11"/>
        <v>KHÔNG CHO PHÉP</v>
      </c>
    </row>
    <row r="275" spans="1:12" x14ac:dyDescent="0.3">
      <c r="A275" s="4">
        <f t="shared" si="10"/>
        <v>274</v>
      </c>
      <c r="G275" s="4">
        <f>IFERROR(_xlfn.XLOOKUP(F275,'Hồ sơ phương tiện'!$B:$B,'Hồ sơ phương tiện'!$E:$E),"")</f>
        <v>0</v>
      </c>
      <c r="J275" s="4" t="str">
        <f>IFERROR(_xlfn.XLOOKUP(F275,'Hồ sơ phương tiện'!$B:$B,'Hồ sơ phương tiện'!$N:$N),"")</f>
        <v>THIẾU</v>
      </c>
      <c r="K275" s="4" t="str">
        <f>IFERROR(_xlfn.XLOOKUP(F275,'Hồ sơ phương tiện'!$B:$B,'Hồ sơ phương tiện'!$X:$X),"")</f>
        <v>KHÔNG PHÙ HỢP</v>
      </c>
      <c r="L275" s="4" t="str">
        <f t="shared" si="11"/>
        <v>KHÔNG CHO PHÉP</v>
      </c>
    </row>
    <row r="276" spans="1:12" x14ac:dyDescent="0.3">
      <c r="A276" s="4">
        <f t="shared" si="10"/>
        <v>275</v>
      </c>
      <c r="G276" s="4">
        <f>IFERROR(_xlfn.XLOOKUP(F276,'Hồ sơ phương tiện'!$B:$B,'Hồ sơ phương tiện'!$E:$E),"")</f>
        <v>0</v>
      </c>
      <c r="J276" s="4" t="str">
        <f>IFERROR(_xlfn.XLOOKUP(F276,'Hồ sơ phương tiện'!$B:$B,'Hồ sơ phương tiện'!$N:$N),"")</f>
        <v>THIẾU</v>
      </c>
      <c r="K276" s="4" t="str">
        <f>IFERROR(_xlfn.XLOOKUP(F276,'Hồ sơ phương tiện'!$B:$B,'Hồ sơ phương tiện'!$X:$X),"")</f>
        <v>KHÔNG PHÙ HỢP</v>
      </c>
      <c r="L276" s="4" t="str">
        <f t="shared" si="11"/>
        <v>KHÔNG CHO PHÉP</v>
      </c>
    </row>
    <row r="277" spans="1:12" x14ac:dyDescent="0.3">
      <c r="A277" s="4">
        <f t="shared" si="10"/>
        <v>276</v>
      </c>
      <c r="G277" s="4">
        <f>IFERROR(_xlfn.XLOOKUP(F277,'Hồ sơ phương tiện'!$B:$B,'Hồ sơ phương tiện'!$E:$E),"")</f>
        <v>0</v>
      </c>
      <c r="J277" s="4" t="str">
        <f>IFERROR(_xlfn.XLOOKUP(F277,'Hồ sơ phương tiện'!$B:$B,'Hồ sơ phương tiện'!$N:$N),"")</f>
        <v>THIẾU</v>
      </c>
      <c r="K277" s="4" t="str">
        <f>IFERROR(_xlfn.XLOOKUP(F277,'Hồ sơ phương tiện'!$B:$B,'Hồ sơ phương tiện'!$X:$X),"")</f>
        <v>KHÔNG PHÙ HỢP</v>
      </c>
      <c r="L277" s="4" t="str">
        <f t="shared" si="11"/>
        <v>KHÔNG CHO PHÉP</v>
      </c>
    </row>
    <row r="278" spans="1:12" x14ac:dyDescent="0.3">
      <c r="A278" s="4">
        <f t="shared" si="10"/>
        <v>277</v>
      </c>
      <c r="G278" s="4">
        <f>IFERROR(_xlfn.XLOOKUP(F278,'Hồ sơ phương tiện'!$B:$B,'Hồ sơ phương tiện'!$E:$E),"")</f>
        <v>0</v>
      </c>
      <c r="J278" s="4" t="str">
        <f>IFERROR(_xlfn.XLOOKUP(F278,'Hồ sơ phương tiện'!$B:$B,'Hồ sơ phương tiện'!$N:$N),"")</f>
        <v>THIẾU</v>
      </c>
      <c r="K278" s="4" t="str">
        <f>IFERROR(_xlfn.XLOOKUP(F278,'Hồ sơ phương tiện'!$B:$B,'Hồ sơ phương tiện'!$X:$X),"")</f>
        <v>KHÔNG PHÙ HỢP</v>
      </c>
      <c r="L278" s="4" t="str">
        <f t="shared" si="11"/>
        <v>KHÔNG CHO PHÉP</v>
      </c>
    </row>
    <row r="279" spans="1:12" x14ac:dyDescent="0.3">
      <c r="A279" s="4">
        <f t="shared" si="10"/>
        <v>278</v>
      </c>
      <c r="G279" s="4">
        <f>IFERROR(_xlfn.XLOOKUP(F279,'Hồ sơ phương tiện'!$B:$B,'Hồ sơ phương tiện'!$E:$E),"")</f>
        <v>0</v>
      </c>
      <c r="J279" s="4" t="str">
        <f>IFERROR(_xlfn.XLOOKUP(F279,'Hồ sơ phương tiện'!$B:$B,'Hồ sơ phương tiện'!$N:$N),"")</f>
        <v>THIẾU</v>
      </c>
      <c r="K279" s="4" t="str">
        <f>IFERROR(_xlfn.XLOOKUP(F279,'Hồ sơ phương tiện'!$B:$B,'Hồ sơ phương tiện'!$X:$X),"")</f>
        <v>KHÔNG PHÙ HỢP</v>
      </c>
      <c r="L279" s="4" t="str">
        <f t="shared" si="11"/>
        <v>KHÔNG CHO PHÉP</v>
      </c>
    </row>
    <row r="280" spans="1:12" x14ac:dyDescent="0.3">
      <c r="A280" s="4">
        <f t="shared" si="10"/>
        <v>279</v>
      </c>
      <c r="G280" s="4">
        <f>IFERROR(_xlfn.XLOOKUP(F280,'Hồ sơ phương tiện'!$B:$B,'Hồ sơ phương tiện'!$E:$E),"")</f>
        <v>0</v>
      </c>
      <c r="J280" s="4" t="str">
        <f>IFERROR(_xlfn.XLOOKUP(F280,'Hồ sơ phương tiện'!$B:$B,'Hồ sơ phương tiện'!$N:$N),"")</f>
        <v>THIẾU</v>
      </c>
      <c r="K280" s="4" t="str">
        <f>IFERROR(_xlfn.XLOOKUP(F280,'Hồ sơ phương tiện'!$B:$B,'Hồ sơ phương tiện'!$X:$X),"")</f>
        <v>KHÔNG PHÙ HỢP</v>
      </c>
      <c r="L280" s="4" t="str">
        <f t="shared" si="11"/>
        <v>KHÔNG CHO PHÉP</v>
      </c>
    </row>
    <row r="281" spans="1:12" x14ac:dyDescent="0.3">
      <c r="A281" s="4">
        <f t="shared" si="10"/>
        <v>280</v>
      </c>
      <c r="G281" s="4">
        <f>IFERROR(_xlfn.XLOOKUP(F281,'Hồ sơ phương tiện'!$B:$B,'Hồ sơ phương tiện'!$E:$E),"")</f>
        <v>0</v>
      </c>
      <c r="J281" s="4" t="str">
        <f>IFERROR(_xlfn.XLOOKUP(F281,'Hồ sơ phương tiện'!$B:$B,'Hồ sơ phương tiện'!$N:$N),"")</f>
        <v>THIẾU</v>
      </c>
      <c r="K281" s="4" t="str">
        <f>IFERROR(_xlfn.XLOOKUP(F281,'Hồ sơ phương tiện'!$B:$B,'Hồ sơ phương tiện'!$X:$X),"")</f>
        <v>KHÔNG PHÙ HỢP</v>
      </c>
      <c r="L281" s="4" t="str">
        <f t="shared" si="11"/>
        <v>KHÔNG CHO PHÉP</v>
      </c>
    </row>
    <row r="282" spans="1:12" x14ac:dyDescent="0.3">
      <c r="A282" s="4">
        <f t="shared" si="10"/>
        <v>281</v>
      </c>
      <c r="G282" s="4">
        <f>IFERROR(_xlfn.XLOOKUP(F282,'Hồ sơ phương tiện'!$B:$B,'Hồ sơ phương tiện'!$E:$E),"")</f>
        <v>0</v>
      </c>
      <c r="J282" s="4" t="str">
        <f>IFERROR(_xlfn.XLOOKUP(F282,'Hồ sơ phương tiện'!$B:$B,'Hồ sơ phương tiện'!$N:$N),"")</f>
        <v>THIẾU</v>
      </c>
      <c r="K282" s="4" t="str">
        <f>IFERROR(_xlfn.XLOOKUP(F282,'Hồ sơ phương tiện'!$B:$B,'Hồ sơ phương tiện'!$X:$X),"")</f>
        <v>KHÔNG PHÙ HỢP</v>
      </c>
      <c r="L282" s="4" t="str">
        <f t="shared" si="11"/>
        <v>KHÔNG CHO PHÉP</v>
      </c>
    </row>
    <row r="283" spans="1:12" x14ac:dyDescent="0.3">
      <c r="A283" s="4">
        <f t="shared" si="10"/>
        <v>282</v>
      </c>
      <c r="G283" s="4">
        <f>IFERROR(_xlfn.XLOOKUP(F283,'Hồ sơ phương tiện'!$B:$B,'Hồ sơ phương tiện'!$E:$E),"")</f>
        <v>0</v>
      </c>
      <c r="J283" s="4" t="str">
        <f>IFERROR(_xlfn.XLOOKUP(F283,'Hồ sơ phương tiện'!$B:$B,'Hồ sơ phương tiện'!$N:$N),"")</f>
        <v>THIẾU</v>
      </c>
      <c r="K283" s="4" t="str">
        <f>IFERROR(_xlfn.XLOOKUP(F283,'Hồ sơ phương tiện'!$B:$B,'Hồ sơ phương tiện'!$X:$X),"")</f>
        <v>KHÔNG PHÙ HỢP</v>
      </c>
      <c r="L283" s="4" t="str">
        <f t="shared" si="11"/>
        <v>KHÔNG CHO PHÉP</v>
      </c>
    </row>
    <row r="284" spans="1:12" x14ac:dyDescent="0.3">
      <c r="A284" s="4">
        <f t="shared" si="10"/>
        <v>283</v>
      </c>
      <c r="G284" s="4">
        <f>IFERROR(_xlfn.XLOOKUP(F284,'Hồ sơ phương tiện'!$B:$B,'Hồ sơ phương tiện'!$E:$E),"")</f>
        <v>0</v>
      </c>
      <c r="J284" s="4" t="str">
        <f>IFERROR(_xlfn.XLOOKUP(F284,'Hồ sơ phương tiện'!$B:$B,'Hồ sơ phương tiện'!$N:$N),"")</f>
        <v>THIẾU</v>
      </c>
      <c r="K284" s="4" t="str">
        <f>IFERROR(_xlfn.XLOOKUP(F284,'Hồ sơ phương tiện'!$B:$B,'Hồ sơ phương tiện'!$X:$X),"")</f>
        <v>KHÔNG PHÙ HỢP</v>
      </c>
      <c r="L284" s="4" t="str">
        <f t="shared" si="11"/>
        <v>KHÔNG CHO PHÉP</v>
      </c>
    </row>
    <row r="285" spans="1:12" x14ac:dyDescent="0.3">
      <c r="A285" s="4">
        <f t="shared" si="10"/>
        <v>284</v>
      </c>
      <c r="G285" s="4">
        <f>IFERROR(_xlfn.XLOOKUP(F285,'Hồ sơ phương tiện'!$B:$B,'Hồ sơ phương tiện'!$E:$E),"")</f>
        <v>0</v>
      </c>
      <c r="J285" s="4" t="str">
        <f>IFERROR(_xlfn.XLOOKUP(F285,'Hồ sơ phương tiện'!$B:$B,'Hồ sơ phương tiện'!$N:$N),"")</f>
        <v>THIẾU</v>
      </c>
      <c r="K285" s="4" t="str">
        <f>IFERROR(_xlfn.XLOOKUP(F285,'Hồ sơ phương tiện'!$B:$B,'Hồ sơ phương tiện'!$X:$X),"")</f>
        <v>KHÔNG PHÙ HỢP</v>
      </c>
      <c r="L285" s="4" t="str">
        <f t="shared" si="11"/>
        <v>KHÔNG CHO PHÉP</v>
      </c>
    </row>
    <row r="286" spans="1:12" x14ac:dyDescent="0.3">
      <c r="A286" s="4">
        <f t="shared" si="10"/>
        <v>285</v>
      </c>
      <c r="G286" s="4">
        <f>IFERROR(_xlfn.XLOOKUP(F286,'Hồ sơ phương tiện'!$B:$B,'Hồ sơ phương tiện'!$E:$E),"")</f>
        <v>0</v>
      </c>
      <c r="J286" s="4" t="str">
        <f>IFERROR(_xlfn.XLOOKUP(F286,'Hồ sơ phương tiện'!$B:$B,'Hồ sơ phương tiện'!$N:$N),"")</f>
        <v>THIẾU</v>
      </c>
      <c r="K286" s="4" t="str">
        <f>IFERROR(_xlfn.XLOOKUP(F286,'Hồ sơ phương tiện'!$B:$B,'Hồ sơ phương tiện'!$X:$X),"")</f>
        <v>KHÔNG PHÙ HỢP</v>
      </c>
      <c r="L286" s="4" t="str">
        <f t="shared" si="11"/>
        <v>KHÔNG CHO PHÉP</v>
      </c>
    </row>
    <row r="287" spans="1:12" x14ac:dyDescent="0.3">
      <c r="A287" s="4">
        <f t="shared" si="10"/>
        <v>286</v>
      </c>
      <c r="G287" s="4">
        <f>IFERROR(_xlfn.XLOOKUP(F287,'Hồ sơ phương tiện'!$B:$B,'Hồ sơ phương tiện'!$E:$E),"")</f>
        <v>0</v>
      </c>
      <c r="J287" s="4" t="str">
        <f>IFERROR(_xlfn.XLOOKUP(F287,'Hồ sơ phương tiện'!$B:$B,'Hồ sơ phương tiện'!$N:$N),"")</f>
        <v>THIẾU</v>
      </c>
      <c r="K287" s="4" t="str">
        <f>IFERROR(_xlfn.XLOOKUP(F287,'Hồ sơ phương tiện'!$B:$B,'Hồ sơ phương tiện'!$X:$X),"")</f>
        <v>KHÔNG PHÙ HỢP</v>
      </c>
      <c r="L287" s="4" t="str">
        <f t="shared" si="11"/>
        <v>KHÔNG CHO PHÉP</v>
      </c>
    </row>
    <row r="288" spans="1:12" x14ac:dyDescent="0.3">
      <c r="A288" s="4">
        <f t="shared" si="10"/>
        <v>287</v>
      </c>
      <c r="G288" s="4">
        <f>IFERROR(_xlfn.XLOOKUP(F288,'Hồ sơ phương tiện'!$B:$B,'Hồ sơ phương tiện'!$E:$E),"")</f>
        <v>0</v>
      </c>
      <c r="J288" s="4" t="str">
        <f>IFERROR(_xlfn.XLOOKUP(F288,'Hồ sơ phương tiện'!$B:$B,'Hồ sơ phương tiện'!$N:$N),"")</f>
        <v>THIẾU</v>
      </c>
      <c r="K288" s="4" t="str">
        <f>IFERROR(_xlfn.XLOOKUP(F288,'Hồ sơ phương tiện'!$B:$B,'Hồ sơ phương tiện'!$X:$X),"")</f>
        <v>KHÔNG PHÙ HỢP</v>
      </c>
      <c r="L288" s="4" t="str">
        <f t="shared" si="11"/>
        <v>KHÔNG CHO PHÉP</v>
      </c>
    </row>
    <row r="289" spans="1:12" x14ac:dyDescent="0.3">
      <c r="A289" s="4">
        <f t="shared" si="10"/>
        <v>288</v>
      </c>
      <c r="G289" s="4">
        <f>IFERROR(_xlfn.XLOOKUP(F289,'Hồ sơ phương tiện'!$B:$B,'Hồ sơ phương tiện'!$E:$E),"")</f>
        <v>0</v>
      </c>
      <c r="J289" s="4" t="str">
        <f>IFERROR(_xlfn.XLOOKUP(F289,'Hồ sơ phương tiện'!$B:$B,'Hồ sơ phương tiện'!$N:$N),"")</f>
        <v>THIẾU</v>
      </c>
      <c r="K289" s="4" t="str">
        <f>IFERROR(_xlfn.XLOOKUP(F289,'Hồ sơ phương tiện'!$B:$B,'Hồ sơ phương tiện'!$X:$X),"")</f>
        <v>KHÔNG PHÙ HỢP</v>
      </c>
      <c r="L289" s="4" t="str">
        <f t="shared" si="11"/>
        <v>KHÔNG CHO PHÉP</v>
      </c>
    </row>
    <row r="290" spans="1:12" x14ac:dyDescent="0.3">
      <c r="A290" s="4">
        <f t="shared" si="10"/>
        <v>289</v>
      </c>
      <c r="G290" s="4">
        <f>IFERROR(_xlfn.XLOOKUP(F290,'Hồ sơ phương tiện'!$B:$B,'Hồ sơ phương tiện'!$E:$E),"")</f>
        <v>0</v>
      </c>
      <c r="J290" s="4" t="str">
        <f>IFERROR(_xlfn.XLOOKUP(F290,'Hồ sơ phương tiện'!$B:$B,'Hồ sơ phương tiện'!$N:$N),"")</f>
        <v>THIẾU</v>
      </c>
      <c r="K290" s="4" t="str">
        <f>IFERROR(_xlfn.XLOOKUP(F290,'Hồ sơ phương tiện'!$B:$B,'Hồ sơ phương tiện'!$X:$X),"")</f>
        <v>KHÔNG PHÙ HỢP</v>
      </c>
      <c r="L290" s="4" t="str">
        <f t="shared" si="11"/>
        <v>KHÔNG CHO PHÉP</v>
      </c>
    </row>
    <row r="291" spans="1:12" x14ac:dyDescent="0.3">
      <c r="A291" s="4">
        <f t="shared" si="10"/>
        <v>290</v>
      </c>
      <c r="G291" s="4">
        <f>IFERROR(_xlfn.XLOOKUP(F291,'Hồ sơ phương tiện'!$B:$B,'Hồ sơ phương tiện'!$E:$E),"")</f>
        <v>0</v>
      </c>
      <c r="J291" s="4" t="str">
        <f>IFERROR(_xlfn.XLOOKUP(F291,'Hồ sơ phương tiện'!$B:$B,'Hồ sơ phương tiện'!$N:$N),"")</f>
        <v>THIẾU</v>
      </c>
      <c r="K291" s="4" t="str">
        <f>IFERROR(_xlfn.XLOOKUP(F291,'Hồ sơ phương tiện'!$B:$B,'Hồ sơ phương tiện'!$X:$X),"")</f>
        <v>KHÔNG PHÙ HỢP</v>
      </c>
      <c r="L291" s="4" t="str">
        <f t="shared" si="11"/>
        <v>KHÔNG CHO PHÉP</v>
      </c>
    </row>
    <row r="292" spans="1:12" x14ac:dyDescent="0.3">
      <c r="A292" s="4">
        <f t="shared" si="10"/>
        <v>291</v>
      </c>
      <c r="G292" s="4">
        <f>IFERROR(_xlfn.XLOOKUP(F292,'Hồ sơ phương tiện'!$B:$B,'Hồ sơ phương tiện'!$E:$E),"")</f>
        <v>0</v>
      </c>
      <c r="J292" s="4" t="str">
        <f>IFERROR(_xlfn.XLOOKUP(F292,'Hồ sơ phương tiện'!$B:$B,'Hồ sơ phương tiện'!$N:$N),"")</f>
        <v>THIẾU</v>
      </c>
      <c r="K292" s="4" t="str">
        <f>IFERROR(_xlfn.XLOOKUP(F292,'Hồ sơ phương tiện'!$B:$B,'Hồ sơ phương tiện'!$X:$X),"")</f>
        <v>KHÔNG PHÙ HỢP</v>
      </c>
      <c r="L292" s="4" t="str">
        <f t="shared" si="11"/>
        <v>KHÔNG CHO PHÉP</v>
      </c>
    </row>
    <row r="293" spans="1:12" x14ac:dyDescent="0.3">
      <c r="A293" s="4">
        <f t="shared" si="10"/>
        <v>292</v>
      </c>
      <c r="G293" s="4">
        <f>IFERROR(_xlfn.XLOOKUP(F293,'Hồ sơ phương tiện'!$B:$B,'Hồ sơ phương tiện'!$E:$E),"")</f>
        <v>0</v>
      </c>
      <c r="J293" s="4" t="str">
        <f>IFERROR(_xlfn.XLOOKUP(F293,'Hồ sơ phương tiện'!$B:$B,'Hồ sơ phương tiện'!$N:$N),"")</f>
        <v>THIẾU</v>
      </c>
      <c r="K293" s="4" t="str">
        <f>IFERROR(_xlfn.XLOOKUP(F293,'Hồ sơ phương tiện'!$B:$B,'Hồ sơ phương tiện'!$X:$X),"")</f>
        <v>KHÔNG PHÙ HỢP</v>
      </c>
      <c r="L293" s="4" t="str">
        <f t="shared" si="11"/>
        <v>KHÔNG CHO PHÉP</v>
      </c>
    </row>
    <row r="294" spans="1:12" x14ac:dyDescent="0.3">
      <c r="A294" s="4">
        <f t="shared" si="10"/>
        <v>293</v>
      </c>
      <c r="G294" s="4">
        <f>IFERROR(_xlfn.XLOOKUP(F294,'Hồ sơ phương tiện'!$B:$B,'Hồ sơ phương tiện'!$E:$E),"")</f>
        <v>0</v>
      </c>
      <c r="J294" s="4" t="str">
        <f>IFERROR(_xlfn.XLOOKUP(F294,'Hồ sơ phương tiện'!$B:$B,'Hồ sơ phương tiện'!$N:$N),"")</f>
        <v>THIẾU</v>
      </c>
      <c r="K294" s="4" t="str">
        <f>IFERROR(_xlfn.XLOOKUP(F294,'Hồ sơ phương tiện'!$B:$B,'Hồ sơ phương tiện'!$X:$X),"")</f>
        <v>KHÔNG PHÙ HỢP</v>
      </c>
      <c r="L294" s="4" t="str">
        <f t="shared" si="11"/>
        <v>KHÔNG CHO PHÉP</v>
      </c>
    </row>
    <row r="295" spans="1:12" x14ac:dyDescent="0.3">
      <c r="A295" s="4">
        <f t="shared" si="10"/>
        <v>294</v>
      </c>
      <c r="G295" s="4">
        <f>IFERROR(_xlfn.XLOOKUP(F295,'Hồ sơ phương tiện'!$B:$B,'Hồ sơ phương tiện'!$E:$E),"")</f>
        <v>0</v>
      </c>
      <c r="J295" s="4" t="str">
        <f>IFERROR(_xlfn.XLOOKUP(F295,'Hồ sơ phương tiện'!$B:$B,'Hồ sơ phương tiện'!$N:$N),"")</f>
        <v>THIẾU</v>
      </c>
      <c r="K295" s="4" t="str">
        <f>IFERROR(_xlfn.XLOOKUP(F295,'Hồ sơ phương tiện'!$B:$B,'Hồ sơ phương tiện'!$X:$X),"")</f>
        <v>KHÔNG PHÙ HỢP</v>
      </c>
      <c r="L295" s="4" t="str">
        <f t="shared" si="11"/>
        <v>KHÔNG CHO PHÉP</v>
      </c>
    </row>
    <row r="296" spans="1:12" x14ac:dyDescent="0.3">
      <c r="A296" s="4">
        <f t="shared" si="10"/>
        <v>295</v>
      </c>
      <c r="G296" s="4">
        <f>IFERROR(_xlfn.XLOOKUP(F296,'Hồ sơ phương tiện'!$B:$B,'Hồ sơ phương tiện'!$E:$E),"")</f>
        <v>0</v>
      </c>
      <c r="J296" s="4" t="str">
        <f>IFERROR(_xlfn.XLOOKUP(F296,'Hồ sơ phương tiện'!$B:$B,'Hồ sơ phương tiện'!$N:$N),"")</f>
        <v>THIẾU</v>
      </c>
      <c r="K296" s="4" t="str">
        <f>IFERROR(_xlfn.XLOOKUP(F296,'Hồ sơ phương tiện'!$B:$B,'Hồ sơ phương tiện'!$X:$X),"")</f>
        <v>KHÔNG PHÙ HỢP</v>
      </c>
      <c r="L296" s="4" t="str">
        <f t="shared" si="11"/>
        <v>KHÔNG CHO PHÉP</v>
      </c>
    </row>
    <row r="297" spans="1:12" x14ac:dyDescent="0.3">
      <c r="A297" s="4">
        <f t="shared" si="10"/>
        <v>296</v>
      </c>
      <c r="G297" s="4">
        <f>IFERROR(_xlfn.XLOOKUP(F297,'Hồ sơ phương tiện'!$B:$B,'Hồ sơ phương tiện'!$E:$E),"")</f>
        <v>0</v>
      </c>
      <c r="J297" s="4" t="str">
        <f>IFERROR(_xlfn.XLOOKUP(F297,'Hồ sơ phương tiện'!$B:$B,'Hồ sơ phương tiện'!$N:$N),"")</f>
        <v>THIẾU</v>
      </c>
      <c r="K297" s="4" t="str">
        <f>IFERROR(_xlfn.XLOOKUP(F297,'Hồ sơ phương tiện'!$B:$B,'Hồ sơ phương tiện'!$X:$X),"")</f>
        <v>KHÔNG PHÙ HỢP</v>
      </c>
      <c r="L297" s="4" t="str">
        <f t="shared" si="11"/>
        <v>KHÔNG CHO PHÉP</v>
      </c>
    </row>
    <row r="298" spans="1:12" x14ac:dyDescent="0.3">
      <c r="A298" s="4">
        <f t="shared" si="10"/>
        <v>297</v>
      </c>
      <c r="G298" s="4">
        <f>IFERROR(_xlfn.XLOOKUP(F298,'Hồ sơ phương tiện'!$B:$B,'Hồ sơ phương tiện'!$E:$E),"")</f>
        <v>0</v>
      </c>
      <c r="J298" s="4" t="str">
        <f>IFERROR(_xlfn.XLOOKUP(F298,'Hồ sơ phương tiện'!$B:$B,'Hồ sơ phương tiện'!$N:$N),"")</f>
        <v>THIẾU</v>
      </c>
      <c r="K298" s="4" t="str">
        <f>IFERROR(_xlfn.XLOOKUP(F298,'Hồ sơ phương tiện'!$B:$B,'Hồ sơ phương tiện'!$X:$X),"")</f>
        <v>KHÔNG PHÙ HỢP</v>
      </c>
      <c r="L298" s="4" t="str">
        <f t="shared" si="11"/>
        <v>KHÔNG CHO PHÉP</v>
      </c>
    </row>
    <row r="299" spans="1:12" x14ac:dyDescent="0.3">
      <c r="A299" s="4">
        <f t="shared" si="10"/>
        <v>298</v>
      </c>
      <c r="G299" s="4">
        <f>IFERROR(_xlfn.XLOOKUP(F299,'Hồ sơ phương tiện'!$B:$B,'Hồ sơ phương tiện'!$E:$E),"")</f>
        <v>0</v>
      </c>
      <c r="J299" s="4" t="str">
        <f>IFERROR(_xlfn.XLOOKUP(F299,'Hồ sơ phương tiện'!$B:$B,'Hồ sơ phương tiện'!$N:$N),"")</f>
        <v>THIẾU</v>
      </c>
      <c r="K299" s="4" t="str">
        <f>IFERROR(_xlfn.XLOOKUP(F299,'Hồ sơ phương tiện'!$B:$B,'Hồ sơ phương tiện'!$X:$X),"")</f>
        <v>KHÔNG PHÙ HỢP</v>
      </c>
      <c r="L299" s="4" t="str">
        <f t="shared" si="11"/>
        <v>KHÔNG CHO PHÉP</v>
      </c>
    </row>
    <row r="300" spans="1:12" x14ac:dyDescent="0.3">
      <c r="A300" s="4">
        <f t="shared" si="10"/>
        <v>299</v>
      </c>
      <c r="G300" s="4">
        <f>IFERROR(_xlfn.XLOOKUP(F300,'Hồ sơ phương tiện'!$B:$B,'Hồ sơ phương tiện'!$E:$E),"")</f>
        <v>0</v>
      </c>
      <c r="J300" s="4" t="str">
        <f>IFERROR(_xlfn.XLOOKUP(F300,'Hồ sơ phương tiện'!$B:$B,'Hồ sơ phương tiện'!$N:$N),"")</f>
        <v>THIẾU</v>
      </c>
      <c r="K300" s="4" t="str">
        <f>IFERROR(_xlfn.XLOOKUP(F300,'Hồ sơ phương tiện'!$B:$B,'Hồ sơ phương tiện'!$X:$X),"")</f>
        <v>KHÔNG PHÙ HỢP</v>
      </c>
      <c r="L300" s="4" t="str">
        <f t="shared" si="11"/>
        <v>KHÔNG CHO PHÉP</v>
      </c>
    </row>
    <row r="301" spans="1:12" x14ac:dyDescent="0.3">
      <c r="A301" s="4">
        <f t="shared" si="10"/>
        <v>300</v>
      </c>
      <c r="G301" s="4">
        <f>IFERROR(_xlfn.XLOOKUP(F301,'Hồ sơ phương tiện'!$B:$B,'Hồ sơ phương tiện'!$E:$E),"")</f>
        <v>0</v>
      </c>
      <c r="J301" s="4" t="str">
        <f>IFERROR(_xlfn.XLOOKUP(F301,'Hồ sơ phương tiện'!$B:$B,'Hồ sơ phương tiện'!$N:$N),"")</f>
        <v>THIẾU</v>
      </c>
      <c r="K301" s="4" t="str">
        <f>IFERROR(_xlfn.XLOOKUP(F301,'Hồ sơ phương tiện'!$B:$B,'Hồ sơ phương tiện'!$X:$X),"")</f>
        <v>KHÔNG PHÙ HỢP</v>
      </c>
      <c r="L301" s="4" t="str">
        <f t="shared" si="11"/>
        <v>KHÔNG CHO PHÉP</v>
      </c>
    </row>
    <row r="302" spans="1:12" x14ac:dyDescent="0.3">
      <c r="A302" s="4">
        <f t="shared" si="10"/>
        <v>301</v>
      </c>
      <c r="G302" s="4">
        <f>IFERROR(_xlfn.XLOOKUP(F302,'Hồ sơ phương tiện'!$B:$B,'Hồ sơ phương tiện'!$E:$E),"")</f>
        <v>0</v>
      </c>
      <c r="J302" s="4" t="str">
        <f>IFERROR(_xlfn.XLOOKUP(F302,'Hồ sơ phương tiện'!$B:$B,'Hồ sơ phương tiện'!$N:$N),"")</f>
        <v>THIẾU</v>
      </c>
      <c r="K302" s="4" t="str">
        <f>IFERROR(_xlfn.XLOOKUP(F302,'Hồ sơ phương tiện'!$B:$B,'Hồ sơ phương tiện'!$X:$X),"")</f>
        <v>KHÔNG PHÙ HỢP</v>
      </c>
      <c r="L302" s="4" t="str">
        <f t="shared" si="11"/>
        <v>KHÔNG CHO PHÉP</v>
      </c>
    </row>
    <row r="303" spans="1:12" x14ac:dyDescent="0.3">
      <c r="A303" s="4">
        <f t="shared" si="10"/>
        <v>302</v>
      </c>
      <c r="G303" s="4">
        <f>IFERROR(_xlfn.XLOOKUP(F303,'Hồ sơ phương tiện'!$B:$B,'Hồ sơ phương tiện'!$E:$E),"")</f>
        <v>0</v>
      </c>
      <c r="J303" s="4" t="str">
        <f>IFERROR(_xlfn.XLOOKUP(F303,'Hồ sơ phương tiện'!$B:$B,'Hồ sơ phương tiện'!$N:$N),"")</f>
        <v>THIẾU</v>
      </c>
      <c r="K303" s="4" t="str">
        <f>IFERROR(_xlfn.XLOOKUP(F303,'Hồ sơ phương tiện'!$B:$B,'Hồ sơ phương tiện'!$X:$X),"")</f>
        <v>KHÔNG PHÙ HỢP</v>
      </c>
      <c r="L303" s="4" t="str">
        <f t="shared" si="11"/>
        <v>KHÔNG CHO PHÉP</v>
      </c>
    </row>
    <row r="304" spans="1:12" x14ac:dyDescent="0.3">
      <c r="A304" s="4">
        <f t="shared" si="10"/>
        <v>303</v>
      </c>
      <c r="G304" s="4">
        <f>IFERROR(_xlfn.XLOOKUP(F304,'Hồ sơ phương tiện'!$B:$B,'Hồ sơ phương tiện'!$E:$E),"")</f>
        <v>0</v>
      </c>
      <c r="J304" s="4" t="str">
        <f>IFERROR(_xlfn.XLOOKUP(F304,'Hồ sơ phương tiện'!$B:$B,'Hồ sơ phương tiện'!$N:$N),"")</f>
        <v>THIẾU</v>
      </c>
      <c r="K304" s="4" t="str">
        <f>IFERROR(_xlfn.XLOOKUP(F304,'Hồ sơ phương tiện'!$B:$B,'Hồ sơ phương tiện'!$X:$X),"")</f>
        <v>KHÔNG PHÙ HỢP</v>
      </c>
      <c r="L304" s="4" t="str">
        <f t="shared" si="11"/>
        <v>KHÔNG CHO PHÉP</v>
      </c>
    </row>
    <row r="305" spans="1:12" x14ac:dyDescent="0.3">
      <c r="A305" s="4">
        <f t="shared" si="10"/>
        <v>304</v>
      </c>
      <c r="G305" s="4">
        <f>IFERROR(_xlfn.XLOOKUP(F305,'Hồ sơ phương tiện'!$B:$B,'Hồ sơ phương tiện'!$E:$E),"")</f>
        <v>0</v>
      </c>
      <c r="J305" s="4" t="str">
        <f>IFERROR(_xlfn.XLOOKUP(F305,'Hồ sơ phương tiện'!$B:$B,'Hồ sơ phương tiện'!$N:$N),"")</f>
        <v>THIẾU</v>
      </c>
      <c r="K305" s="4" t="str">
        <f>IFERROR(_xlfn.XLOOKUP(F305,'Hồ sơ phương tiện'!$B:$B,'Hồ sơ phương tiện'!$X:$X),"")</f>
        <v>KHÔNG PHÙ HỢP</v>
      </c>
      <c r="L305" s="4" t="str">
        <f t="shared" si="11"/>
        <v>KHÔNG CHO PHÉP</v>
      </c>
    </row>
    <row r="306" spans="1:12" x14ac:dyDescent="0.3">
      <c r="A306" s="4">
        <f t="shared" si="10"/>
        <v>305</v>
      </c>
      <c r="G306" s="4">
        <f>IFERROR(_xlfn.XLOOKUP(F306,'Hồ sơ phương tiện'!$B:$B,'Hồ sơ phương tiện'!$E:$E),"")</f>
        <v>0</v>
      </c>
      <c r="J306" s="4" t="str">
        <f>IFERROR(_xlfn.XLOOKUP(F306,'Hồ sơ phương tiện'!$B:$B,'Hồ sơ phương tiện'!$N:$N),"")</f>
        <v>THIẾU</v>
      </c>
      <c r="K306" s="4" t="str">
        <f>IFERROR(_xlfn.XLOOKUP(F306,'Hồ sơ phương tiện'!$B:$B,'Hồ sơ phương tiện'!$X:$X),"")</f>
        <v>KHÔNG PHÙ HỢP</v>
      </c>
      <c r="L306" s="4" t="str">
        <f t="shared" si="11"/>
        <v>KHÔNG CHO PHÉP</v>
      </c>
    </row>
    <row r="307" spans="1:12" x14ac:dyDescent="0.3">
      <c r="A307" s="4">
        <f t="shared" si="10"/>
        <v>306</v>
      </c>
      <c r="G307" s="4">
        <f>IFERROR(_xlfn.XLOOKUP(F307,'Hồ sơ phương tiện'!$B:$B,'Hồ sơ phương tiện'!$E:$E),"")</f>
        <v>0</v>
      </c>
      <c r="J307" s="4" t="str">
        <f>IFERROR(_xlfn.XLOOKUP(F307,'Hồ sơ phương tiện'!$B:$B,'Hồ sơ phương tiện'!$N:$N),"")</f>
        <v>THIẾU</v>
      </c>
      <c r="K307" s="4" t="str">
        <f>IFERROR(_xlfn.XLOOKUP(F307,'Hồ sơ phương tiện'!$B:$B,'Hồ sơ phương tiện'!$X:$X),"")</f>
        <v>KHÔNG PHÙ HỢP</v>
      </c>
      <c r="L307" s="4" t="str">
        <f t="shared" si="11"/>
        <v>KHÔNG CHO PHÉP</v>
      </c>
    </row>
    <row r="308" spans="1:12" x14ac:dyDescent="0.3">
      <c r="A308" s="4">
        <f t="shared" si="10"/>
        <v>307</v>
      </c>
      <c r="G308" s="4">
        <f>IFERROR(_xlfn.XLOOKUP(F308,'Hồ sơ phương tiện'!$B:$B,'Hồ sơ phương tiện'!$E:$E),"")</f>
        <v>0</v>
      </c>
      <c r="J308" s="4" t="str">
        <f>IFERROR(_xlfn.XLOOKUP(F308,'Hồ sơ phương tiện'!$B:$B,'Hồ sơ phương tiện'!$N:$N),"")</f>
        <v>THIẾU</v>
      </c>
      <c r="K308" s="4" t="str">
        <f>IFERROR(_xlfn.XLOOKUP(F308,'Hồ sơ phương tiện'!$B:$B,'Hồ sơ phương tiện'!$X:$X),"")</f>
        <v>KHÔNG PHÙ HỢP</v>
      </c>
      <c r="L308" s="4" t="str">
        <f t="shared" si="11"/>
        <v>KHÔNG CHO PHÉP</v>
      </c>
    </row>
    <row r="309" spans="1:12" x14ac:dyDescent="0.3">
      <c r="A309" s="4">
        <f t="shared" si="10"/>
        <v>308</v>
      </c>
      <c r="G309" s="4">
        <f>IFERROR(_xlfn.XLOOKUP(F309,'Hồ sơ phương tiện'!$B:$B,'Hồ sơ phương tiện'!$E:$E),"")</f>
        <v>0</v>
      </c>
      <c r="J309" s="4" t="str">
        <f>IFERROR(_xlfn.XLOOKUP(F309,'Hồ sơ phương tiện'!$B:$B,'Hồ sơ phương tiện'!$N:$N),"")</f>
        <v>THIẾU</v>
      </c>
      <c r="K309" s="4" t="str">
        <f>IFERROR(_xlfn.XLOOKUP(F309,'Hồ sơ phương tiện'!$B:$B,'Hồ sơ phương tiện'!$X:$X),"")</f>
        <v>KHÔNG PHÙ HỢP</v>
      </c>
      <c r="L309" s="4" t="str">
        <f t="shared" si="11"/>
        <v>KHÔNG CHO PHÉP</v>
      </c>
    </row>
    <row r="310" spans="1:12" x14ac:dyDescent="0.3">
      <c r="A310" s="4">
        <f t="shared" si="10"/>
        <v>309</v>
      </c>
      <c r="G310" s="4">
        <f>IFERROR(_xlfn.XLOOKUP(F310,'Hồ sơ phương tiện'!$B:$B,'Hồ sơ phương tiện'!$E:$E),"")</f>
        <v>0</v>
      </c>
      <c r="J310" s="4" t="str">
        <f>IFERROR(_xlfn.XLOOKUP(F310,'Hồ sơ phương tiện'!$B:$B,'Hồ sơ phương tiện'!$N:$N),"")</f>
        <v>THIẾU</v>
      </c>
      <c r="K310" s="4" t="str">
        <f>IFERROR(_xlfn.XLOOKUP(F310,'Hồ sơ phương tiện'!$B:$B,'Hồ sơ phương tiện'!$X:$X),"")</f>
        <v>KHÔNG PHÙ HỢP</v>
      </c>
      <c r="L310" s="4" t="str">
        <f t="shared" si="11"/>
        <v>KHÔNG CHO PHÉP</v>
      </c>
    </row>
    <row r="311" spans="1:12" x14ac:dyDescent="0.3">
      <c r="A311" s="4">
        <f t="shared" si="10"/>
        <v>310</v>
      </c>
      <c r="G311" s="4">
        <f>IFERROR(_xlfn.XLOOKUP(F311,'Hồ sơ phương tiện'!$B:$B,'Hồ sơ phương tiện'!$E:$E),"")</f>
        <v>0</v>
      </c>
      <c r="J311" s="4" t="str">
        <f>IFERROR(_xlfn.XLOOKUP(F311,'Hồ sơ phương tiện'!$B:$B,'Hồ sơ phương tiện'!$N:$N),"")</f>
        <v>THIẾU</v>
      </c>
      <c r="K311" s="4" t="str">
        <f>IFERROR(_xlfn.XLOOKUP(F311,'Hồ sơ phương tiện'!$B:$B,'Hồ sơ phương tiện'!$X:$X),"")</f>
        <v>KHÔNG PHÙ HỢP</v>
      </c>
      <c r="L311" s="4" t="str">
        <f t="shared" si="11"/>
        <v>KHÔNG CHO PHÉP</v>
      </c>
    </row>
    <row r="312" spans="1:12" x14ac:dyDescent="0.3">
      <c r="A312" s="4">
        <f t="shared" si="10"/>
        <v>311</v>
      </c>
      <c r="G312" s="4">
        <f>IFERROR(_xlfn.XLOOKUP(F312,'Hồ sơ phương tiện'!$B:$B,'Hồ sơ phương tiện'!$E:$E),"")</f>
        <v>0</v>
      </c>
      <c r="J312" s="4" t="str">
        <f>IFERROR(_xlfn.XLOOKUP(F312,'Hồ sơ phương tiện'!$B:$B,'Hồ sơ phương tiện'!$N:$N),"")</f>
        <v>THIẾU</v>
      </c>
      <c r="K312" s="4" t="str">
        <f>IFERROR(_xlfn.XLOOKUP(F312,'Hồ sơ phương tiện'!$B:$B,'Hồ sơ phương tiện'!$X:$X),"")</f>
        <v>KHÔNG PHÙ HỢP</v>
      </c>
      <c r="L312" s="4" t="str">
        <f t="shared" si="11"/>
        <v>KHÔNG CHO PHÉP</v>
      </c>
    </row>
    <row r="313" spans="1:12" x14ac:dyDescent="0.3">
      <c r="A313" s="4">
        <f t="shared" si="10"/>
        <v>312</v>
      </c>
      <c r="G313" s="4">
        <f>IFERROR(_xlfn.XLOOKUP(F313,'Hồ sơ phương tiện'!$B:$B,'Hồ sơ phương tiện'!$E:$E),"")</f>
        <v>0</v>
      </c>
      <c r="J313" s="4" t="str">
        <f>IFERROR(_xlfn.XLOOKUP(F313,'Hồ sơ phương tiện'!$B:$B,'Hồ sơ phương tiện'!$N:$N),"")</f>
        <v>THIẾU</v>
      </c>
      <c r="K313" s="4" t="str">
        <f>IFERROR(_xlfn.XLOOKUP(F313,'Hồ sơ phương tiện'!$B:$B,'Hồ sơ phương tiện'!$X:$X),"")</f>
        <v>KHÔNG PHÙ HỢP</v>
      </c>
      <c r="L313" s="4" t="str">
        <f t="shared" si="11"/>
        <v>KHÔNG CHO PHÉP</v>
      </c>
    </row>
    <row r="314" spans="1:12" x14ac:dyDescent="0.3">
      <c r="A314" s="4">
        <f t="shared" si="10"/>
        <v>313</v>
      </c>
      <c r="G314" s="4">
        <f>IFERROR(_xlfn.XLOOKUP(F314,'Hồ sơ phương tiện'!$B:$B,'Hồ sơ phương tiện'!$E:$E),"")</f>
        <v>0</v>
      </c>
      <c r="J314" s="4" t="str">
        <f>IFERROR(_xlfn.XLOOKUP(F314,'Hồ sơ phương tiện'!$B:$B,'Hồ sơ phương tiện'!$N:$N),"")</f>
        <v>THIẾU</v>
      </c>
      <c r="K314" s="4" t="str">
        <f>IFERROR(_xlfn.XLOOKUP(F314,'Hồ sơ phương tiện'!$B:$B,'Hồ sơ phương tiện'!$X:$X),"")</f>
        <v>KHÔNG PHÙ HỢP</v>
      </c>
      <c r="L314" s="4" t="str">
        <f t="shared" si="11"/>
        <v>KHÔNG CHO PHÉP</v>
      </c>
    </row>
    <row r="315" spans="1:12" x14ac:dyDescent="0.3">
      <c r="A315" s="4">
        <f t="shared" si="10"/>
        <v>314</v>
      </c>
      <c r="G315" s="4">
        <f>IFERROR(_xlfn.XLOOKUP(F315,'Hồ sơ phương tiện'!$B:$B,'Hồ sơ phương tiện'!$E:$E),"")</f>
        <v>0</v>
      </c>
      <c r="J315" s="4" t="str">
        <f>IFERROR(_xlfn.XLOOKUP(F315,'Hồ sơ phương tiện'!$B:$B,'Hồ sơ phương tiện'!$N:$N),"")</f>
        <v>THIẾU</v>
      </c>
      <c r="K315" s="4" t="str">
        <f>IFERROR(_xlfn.XLOOKUP(F315,'Hồ sơ phương tiện'!$B:$B,'Hồ sơ phương tiện'!$X:$X),"")</f>
        <v>KHÔNG PHÙ HỢP</v>
      </c>
      <c r="L315" s="4" t="str">
        <f t="shared" si="11"/>
        <v>KHÔNG CHO PHÉP</v>
      </c>
    </row>
    <row r="316" spans="1:12" x14ac:dyDescent="0.3">
      <c r="A316" s="4">
        <f t="shared" si="10"/>
        <v>315</v>
      </c>
      <c r="G316" s="4">
        <f>IFERROR(_xlfn.XLOOKUP(F316,'Hồ sơ phương tiện'!$B:$B,'Hồ sơ phương tiện'!$E:$E),"")</f>
        <v>0</v>
      </c>
      <c r="J316" s="4" t="str">
        <f>IFERROR(_xlfn.XLOOKUP(F316,'Hồ sơ phương tiện'!$B:$B,'Hồ sơ phương tiện'!$N:$N),"")</f>
        <v>THIẾU</v>
      </c>
      <c r="K316" s="4" t="str">
        <f>IFERROR(_xlfn.XLOOKUP(F316,'Hồ sơ phương tiện'!$B:$B,'Hồ sơ phương tiện'!$X:$X),"")</f>
        <v>KHÔNG PHÙ HỢP</v>
      </c>
      <c r="L316" s="4" t="str">
        <f t="shared" si="11"/>
        <v>KHÔNG CHO PHÉP</v>
      </c>
    </row>
    <row r="317" spans="1:12" x14ac:dyDescent="0.3">
      <c r="A317" s="4">
        <f t="shared" si="10"/>
        <v>316</v>
      </c>
      <c r="G317" s="4">
        <f>IFERROR(_xlfn.XLOOKUP(F317,'Hồ sơ phương tiện'!$B:$B,'Hồ sơ phương tiện'!$E:$E),"")</f>
        <v>0</v>
      </c>
      <c r="J317" s="4" t="str">
        <f>IFERROR(_xlfn.XLOOKUP(F317,'Hồ sơ phương tiện'!$B:$B,'Hồ sơ phương tiện'!$N:$N),"")</f>
        <v>THIẾU</v>
      </c>
      <c r="K317" s="4" t="str">
        <f>IFERROR(_xlfn.XLOOKUP(F317,'Hồ sơ phương tiện'!$B:$B,'Hồ sơ phương tiện'!$X:$X),"")</f>
        <v>KHÔNG PHÙ HỢP</v>
      </c>
      <c r="L317" s="4" t="str">
        <f t="shared" si="11"/>
        <v>KHÔNG CHO PHÉP</v>
      </c>
    </row>
    <row r="318" spans="1:12" x14ac:dyDescent="0.3">
      <c r="A318" s="4">
        <f t="shared" si="10"/>
        <v>317</v>
      </c>
      <c r="G318" s="4">
        <f>IFERROR(_xlfn.XLOOKUP(F318,'Hồ sơ phương tiện'!$B:$B,'Hồ sơ phương tiện'!$E:$E),"")</f>
        <v>0</v>
      </c>
      <c r="J318" s="4" t="str">
        <f>IFERROR(_xlfn.XLOOKUP(F318,'Hồ sơ phương tiện'!$B:$B,'Hồ sơ phương tiện'!$N:$N),"")</f>
        <v>THIẾU</v>
      </c>
      <c r="K318" s="4" t="str">
        <f>IFERROR(_xlfn.XLOOKUP(F318,'Hồ sơ phương tiện'!$B:$B,'Hồ sơ phương tiện'!$X:$X),"")</f>
        <v>KHÔNG PHÙ HỢP</v>
      </c>
      <c r="L318" s="4" t="str">
        <f t="shared" si="11"/>
        <v>KHÔNG CHO PHÉP</v>
      </c>
    </row>
    <row r="319" spans="1:12" x14ac:dyDescent="0.3">
      <c r="A319" s="4">
        <f t="shared" si="10"/>
        <v>318</v>
      </c>
      <c r="G319" s="4">
        <f>IFERROR(_xlfn.XLOOKUP(F319,'Hồ sơ phương tiện'!$B:$B,'Hồ sơ phương tiện'!$E:$E),"")</f>
        <v>0</v>
      </c>
      <c r="J319" s="4" t="str">
        <f>IFERROR(_xlfn.XLOOKUP(F319,'Hồ sơ phương tiện'!$B:$B,'Hồ sơ phương tiện'!$N:$N),"")</f>
        <v>THIẾU</v>
      </c>
      <c r="K319" s="4" t="str">
        <f>IFERROR(_xlfn.XLOOKUP(F319,'Hồ sơ phương tiện'!$B:$B,'Hồ sơ phương tiện'!$X:$X),"")</f>
        <v>KHÔNG PHÙ HỢP</v>
      </c>
      <c r="L319" s="4" t="str">
        <f t="shared" si="11"/>
        <v>KHÔNG CHO PHÉP</v>
      </c>
    </row>
    <row r="320" spans="1:12" x14ac:dyDescent="0.3">
      <c r="A320" s="4">
        <f t="shared" si="10"/>
        <v>319</v>
      </c>
      <c r="G320" s="4">
        <f>IFERROR(_xlfn.XLOOKUP(F320,'Hồ sơ phương tiện'!$B:$B,'Hồ sơ phương tiện'!$E:$E),"")</f>
        <v>0</v>
      </c>
      <c r="J320" s="4" t="str">
        <f>IFERROR(_xlfn.XLOOKUP(F320,'Hồ sơ phương tiện'!$B:$B,'Hồ sơ phương tiện'!$N:$N),"")</f>
        <v>THIẾU</v>
      </c>
      <c r="K320" s="4" t="str">
        <f>IFERROR(_xlfn.XLOOKUP(F320,'Hồ sơ phương tiện'!$B:$B,'Hồ sơ phương tiện'!$X:$X),"")</f>
        <v>KHÔNG PHÙ HỢP</v>
      </c>
      <c r="L320" s="4" t="str">
        <f t="shared" si="11"/>
        <v>KHÔNG CHO PHÉP</v>
      </c>
    </row>
    <row r="321" spans="1:12" x14ac:dyDescent="0.3">
      <c r="A321" s="4">
        <f t="shared" si="10"/>
        <v>320</v>
      </c>
      <c r="G321" s="4">
        <f>IFERROR(_xlfn.XLOOKUP(F321,'Hồ sơ phương tiện'!$B:$B,'Hồ sơ phương tiện'!$E:$E),"")</f>
        <v>0</v>
      </c>
      <c r="J321" s="4" t="str">
        <f>IFERROR(_xlfn.XLOOKUP(F321,'Hồ sơ phương tiện'!$B:$B,'Hồ sơ phương tiện'!$N:$N),"")</f>
        <v>THIẾU</v>
      </c>
      <c r="K321" s="4" t="str">
        <f>IFERROR(_xlfn.XLOOKUP(F321,'Hồ sơ phương tiện'!$B:$B,'Hồ sơ phương tiện'!$X:$X),"")</f>
        <v>KHÔNG PHÙ HỢP</v>
      </c>
      <c r="L321" s="4" t="str">
        <f t="shared" si="11"/>
        <v>KHÔNG CHO PHÉP</v>
      </c>
    </row>
    <row r="322" spans="1:12" x14ac:dyDescent="0.3">
      <c r="A322" s="4">
        <f t="shared" ref="A322:A385" si="12">ROW()-1</f>
        <v>321</v>
      </c>
      <c r="G322" s="4">
        <f>IFERROR(_xlfn.XLOOKUP(F322,'Hồ sơ phương tiện'!$B:$B,'Hồ sơ phương tiện'!$E:$E),"")</f>
        <v>0</v>
      </c>
      <c r="J322" s="4" t="str">
        <f>IFERROR(_xlfn.XLOOKUP(F322,'Hồ sơ phương tiện'!$B:$B,'Hồ sơ phương tiện'!$N:$N),"")</f>
        <v>THIẾU</v>
      </c>
      <c r="K322" s="4" t="str">
        <f>IFERROR(_xlfn.XLOOKUP(F322,'Hồ sơ phương tiện'!$B:$B,'Hồ sơ phương tiện'!$X:$X),"")</f>
        <v>KHÔNG PHÙ HỢP</v>
      </c>
      <c r="L322" s="4" t="str">
        <f t="shared" si="11"/>
        <v>KHÔNG CHO PHÉP</v>
      </c>
    </row>
    <row r="323" spans="1:12" x14ac:dyDescent="0.3">
      <c r="A323" s="4">
        <f t="shared" si="12"/>
        <v>322</v>
      </c>
      <c r="G323" s="4">
        <f>IFERROR(_xlfn.XLOOKUP(F323,'Hồ sơ phương tiện'!$B:$B,'Hồ sơ phương tiện'!$E:$E),"")</f>
        <v>0</v>
      </c>
      <c r="J323" s="4" t="str">
        <f>IFERROR(_xlfn.XLOOKUP(F323,'Hồ sơ phương tiện'!$B:$B,'Hồ sơ phương tiện'!$N:$N),"")</f>
        <v>THIẾU</v>
      </c>
      <c r="K323" s="4" t="str">
        <f>IFERROR(_xlfn.XLOOKUP(F323,'Hồ sơ phương tiện'!$B:$B,'Hồ sơ phương tiện'!$X:$X),"")</f>
        <v>KHÔNG PHÙ HỢP</v>
      </c>
      <c r="L323" s="4" t="str">
        <f t="shared" si="11"/>
        <v>KHÔNG CHO PHÉP</v>
      </c>
    </row>
    <row r="324" spans="1:12" x14ac:dyDescent="0.3">
      <c r="A324" s="4">
        <f t="shared" si="12"/>
        <v>323</v>
      </c>
      <c r="G324" s="4">
        <f>IFERROR(_xlfn.XLOOKUP(F324,'Hồ sơ phương tiện'!$B:$B,'Hồ sơ phương tiện'!$E:$E),"")</f>
        <v>0</v>
      </c>
      <c r="J324" s="4" t="str">
        <f>IFERROR(_xlfn.XLOOKUP(F324,'Hồ sơ phương tiện'!$B:$B,'Hồ sơ phương tiện'!$N:$N),"")</f>
        <v>THIẾU</v>
      </c>
      <c r="K324" s="4" t="str">
        <f>IFERROR(_xlfn.XLOOKUP(F324,'Hồ sơ phương tiện'!$B:$B,'Hồ sơ phương tiện'!$X:$X),"")</f>
        <v>KHÔNG PHÙ HỢP</v>
      </c>
      <c r="L324" s="4" t="str">
        <f t="shared" si="11"/>
        <v>KHÔNG CHO PHÉP</v>
      </c>
    </row>
    <row r="325" spans="1:12" x14ac:dyDescent="0.3">
      <c r="A325" s="4">
        <f t="shared" si="12"/>
        <v>324</v>
      </c>
      <c r="G325" s="4">
        <f>IFERROR(_xlfn.XLOOKUP(F325,'Hồ sơ phương tiện'!$B:$B,'Hồ sơ phương tiện'!$E:$E),"")</f>
        <v>0</v>
      </c>
      <c r="J325" s="4" t="str">
        <f>IFERROR(_xlfn.XLOOKUP(F325,'Hồ sơ phương tiện'!$B:$B,'Hồ sơ phương tiện'!$N:$N),"")</f>
        <v>THIẾU</v>
      </c>
      <c r="K325" s="4" t="str">
        <f>IFERROR(_xlfn.XLOOKUP(F325,'Hồ sơ phương tiện'!$B:$B,'Hồ sơ phương tiện'!$X:$X),"")</f>
        <v>KHÔNG PHÙ HỢP</v>
      </c>
      <c r="L325" s="4" t="str">
        <f t="shared" ref="L325:L388" si="13">IF(AND(J325="Đủ",K325="PHÙ HỢP"),"CHO PHÉP","KHÔNG CHO PHÉP")</f>
        <v>KHÔNG CHO PHÉP</v>
      </c>
    </row>
    <row r="326" spans="1:12" x14ac:dyDescent="0.3">
      <c r="A326" s="4">
        <f t="shared" si="12"/>
        <v>325</v>
      </c>
      <c r="G326" s="4">
        <f>IFERROR(_xlfn.XLOOKUP(F326,'Hồ sơ phương tiện'!$B:$B,'Hồ sơ phương tiện'!$E:$E),"")</f>
        <v>0</v>
      </c>
      <c r="J326" s="4" t="str">
        <f>IFERROR(_xlfn.XLOOKUP(F326,'Hồ sơ phương tiện'!$B:$B,'Hồ sơ phương tiện'!$N:$N),"")</f>
        <v>THIẾU</v>
      </c>
      <c r="K326" s="4" t="str">
        <f>IFERROR(_xlfn.XLOOKUP(F326,'Hồ sơ phương tiện'!$B:$B,'Hồ sơ phương tiện'!$X:$X),"")</f>
        <v>KHÔNG PHÙ HỢP</v>
      </c>
      <c r="L326" s="4" t="str">
        <f t="shared" si="13"/>
        <v>KHÔNG CHO PHÉP</v>
      </c>
    </row>
    <row r="327" spans="1:12" x14ac:dyDescent="0.3">
      <c r="A327" s="4">
        <f t="shared" si="12"/>
        <v>326</v>
      </c>
      <c r="G327" s="4">
        <f>IFERROR(_xlfn.XLOOKUP(F327,'Hồ sơ phương tiện'!$B:$B,'Hồ sơ phương tiện'!$E:$E),"")</f>
        <v>0</v>
      </c>
      <c r="J327" s="4" t="str">
        <f>IFERROR(_xlfn.XLOOKUP(F327,'Hồ sơ phương tiện'!$B:$B,'Hồ sơ phương tiện'!$N:$N),"")</f>
        <v>THIẾU</v>
      </c>
      <c r="K327" s="4" t="str">
        <f>IFERROR(_xlfn.XLOOKUP(F327,'Hồ sơ phương tiện'!$B:$B,'Hồ sơ phương tiện'!$X:$X),"")</f>
        <v>KHÔNG PHÙ HỢP</v>
      </c>
      <c r="L327" s="4" t="str">
        <f t="shared" si="13"/>
        <v>KHÔNG CHO PHÉP</v>
      </c>
    </row>
    <row r="328" spans="1:12" x14ac:dyDescent="0.3">
      <c r="A328" s="4">
        <f t="shared" si="12"/>
        <v>327</v>
      </c>
      <c r="G328" s="4">
        <f>IFERROR(_xlfn.XLOOKUP(F328,'Hồ sơ phương tiện'!$B:$B,'Hồ sơ phương tiện'!$E:$E),"")</f>
        <v>0</v>
      </c>
      <c r="J328" s="4" t="str">
        <f>IFERROR(_xlfn.XLOOKUP(F328,'Hồ sơ phương tiện'!$B:$B,'Hồ sơ phương tiện'!$N:$N),"")</f>
        <v>THIẾU</v>
      </c>
      <c r="K328" s="4" t="str">
        <f>IFERROR(_xlfn.XLOOKUP(F328,'Hồ sơ phương tiện'!$B:$B,'Hồ sơ phương tiện'!$X:$X),"")</f>
        <v>KHÔNG PHÙ HỢP</v>
      </c>
      <c r="L328" s="4" t="str">
        <f t="shared" si="13"/>
        <v>KHÔNG CHO PHÉP</v>
      </c>
    </row>
    <row r="329" spans="1:12" x14ac:dyDescent="0.3">
      <c r="A329" s="4">
        <f t="shared" si="12"/>
        <v>328</v>
      </c>
      <c r="G329" s="4">
        <f>IFERROR(_xlfn.XLOOKUP(F329,'Hồ sơ phương tiện'!$B:$B,'Hồ sơ phương tiện'!$E:$E),"")</f>
        <v>0</v>
      </c>
      <c r="J329" s="4" t="str">
        <f>IFERROR(_xlfn.XLOOKUP(F329,'Hồ sơ phương tiện'!$B:$B,'Hồ sơ phương tiện'!$N:$N),"")</f>
        <v>THIẾU</v>
      </c>
      <c r="K329" s="4" t="str">
        <f>IFERROR(_xlfn.XLOOKUP(F329,'Hồ sơ phương tiện'!$B:$B,'Hồ sơ phương tiện'!$X:$X),"")</f>
        <v>KHÔNG PHÙ HỢP</v>
      </c>
      <c r="L329" s="4" t="str">
        <f t="shared" si="13"/>
        <v>KHÔNG CHO PHÉP</v>
      </c>
    </row>
    <row r="330" spans="1:12" x14ac:dyDescent="0.3">
      <c r="A330" s="4">
        <f t="shared" si="12"/>
        <v>329</v>
      </c>
      <c r="G330" s="4">
        <f>IFERROR(_xlfn.XLOOKUP(F330,'Hồ sơ phương tiện'!$B:$B,'Hồ sơ phương tiện'!$E:$E),"")</f>
        <v>0</v>
      </c>
      <c r="J330" s="4" t="str">
        <f>IFERROR(_xlfn.XLOOKUP(F330,'Hồ sơ phương tiện'!$B:$B,'Hồ sơ phương tiện'!$N:$N),"")</f>
        <v>THIẾU</v>
      </c>
      <c r="K330" s="4" t="str">
        <f>IFERROR(_xlfn.XLOOKUP(F330,'Hồ sơ phương tiện'!$B:$B,'Hồ sơ phương tiện'!$X:$X),"")</f>
        <v>KHÔNG PHÙ HỢP</v>
      </c>
      <c r="L330" s="4" t="str">
        <f t="shared" si="13"/>
        <v>KHÔNG CHO PHÉP</v>
      </c>
    </row>
    <row r="331" spans="1:12" x14ac:dyDescent="0.3">
      <c r="A331" s="4">
        <f t="shared" si="12"/>
        <v>330</v>
      </c>
      <c r="G331" s="4">
        <f>IFERROR(_xlfn.XLOOKUP(F331,'Hồ sơ phương tiện'!$B:$B,'Hồ sơ phương tiện'!$E:$E),"")</f>
        <v>0</v>
      </c>
      <c r="J331" s="4" t="str">
        <f>IFERROR(_xlfn.XLOOKUP(F331,'Hồ sơ phương tiện'!$B:$B,'Hồ sơ phương tiện'!$N:$N),"")</f>
        <v>THIẾU</v>
      </c>
      <c r="K331" s="4" t="str">
        <f>IFERROR(_xlfn.XLOOKUP(F331,'Hồ sơ phương tiện'!$B:$B,'Hồ sơ phương tiện'!$X:$X),"")</f>
        <v>KHÔNG PHÙ HỢP</v>
      </c>
      <c r="L331" s="4" t="str">
        <f t="shared" si="13"/>
        <v>KHÔNG CHO PHÉP</v>
      </c>
    </row>
    <row r="332" spans="1:12" x14ac:dyDescent="0.3">
      <c r="A332" s="4">
        <f t="shared" si="12"/>
        <v>331</v>
      </c>
      <c r="G332" s="4">
        <f>IFERROR(_xlfn.XLOOKUP(F332,'Hồ sơ phương tiện'!$B:$B,'Hồ sơ phương tiện'!$E:$E),"")</f>
        <v>0</v>
      </c>
      <c r="J332" s="4" t="str">
        <f>IFERROR(_xlfn.XLOOKUP(F332,'Hồ sơ phương tiện'!$B:$B,'Hồ sơ phương tiện'!$N:$N),"")</f>
        <v>THIẾU</v>
      </c>
      <c r="K332" s="4" t="str">
        <f>IFERROR(_xlfn.XLOOKUP(F332,'Hồ sơ phương tiện'!$B:$B,'Hồ sơ phương tiện'!$X:$X),"")</f>
        <v>KHÔNG PHÙ HỢP</v>
      </c>
      <c r="L332" s="4" t="str">
        <f t="shared" si="13"/>
        <v>KHÔNG CHO PHÉP</v>
      </c>
    </row>
    <row r="333" spans="1:12" x14ac:dyDescent="0.3">
      <c r="A333" s="4">
        <f t="shared" si="12"/>
        <v>332</v>
      </c>
      <c r="G333" s="4">
        <f>IFERROR(_xlfn.XLOOKUP(F333,'Hồ sơ phương tiện'!$B:$B,'Hồ sơ phương tiện'!$E:$E),"")</f>
        <v>0</v>
      </c>
      <c r="J333" s="4" t="str">
        <f>IFERROR(_xlfn.XLOOKUP(F333,'Hồ sơ phương tiện'!$B:$B,'Hồ sơ phương tiện'!$N:$N),"")</f>
        <v>THIẾU</v>
      </c>
      <c r="K333" s="4" t="str">
        <f>IFERROR(_xlfn.XLOOKUP(F333,'Hồ sơ phương tiện'!$B:$B,'Hồ sơ phương tiện'!$X:$X),"")</f>
        <v>KHÔNG PHÙ HỢP</v>
      </c>
      <c r="L333" s="4" t="str">
        <f t="shared" si="13"/>
        <v>KHÔNG CHO PHÉP</v>
      </c>
    </row>
    <row r="334" spans="1:12" x14ac:dyDescent="0.3">
      <c r="A334" s="4">
        <f t="shared" si="12"/>
        <v>333</v>
      </c>
      <c r="G334" s="4">
        <f>IFERROR(_xlfn.XLOOKUP(F334,'Hồ sơ phương tiện'!$B:$B,'Hồ sơ phương tiện'!$E:$E),"")</f>
        <v>0</v>
      </c>
      <c r="J334" s="4" t="str">
        <f>IFERROR(_xlfn.XLOOKUP(F334,'Hồ sơ phương tiện'!$B:$B,'Hồ sơ phương tiện'!$N:$N),"")</f>
        <v>THIẾU</v>
      </c>
      <c r="K334" s="4" t="str">
        <f>IFERROR(_xlfn.XLOOKUP(F334,'Hồ sơ phương tiện'!$B:$B,'Hồ sơ phương tiện'!$X:$X),"")</f>
        <v>KHÔNG PHÙ HỢP</v>
      </c>
      <c r="L334" s="4" t="str">
        <f t="shared" si="13"/>
        <v>KHÔNG CHO PHÉP</v>
      </c>
    </row>
    <row r="335" spans="1:12" x14ac:dyDescent="0.3">
      <c r="A335" s="4">
        <f t="shared" si="12"/>
        <v>334</v>
      </c>
      <c r="G335" s="4">
        <f>IFERROR(_xlfn.XLOOKUP(F335,'Hồ sơ phương tiện'!$B:$B,'Hồ sơ phương tiện'!$E:$E),"")</f>
        <v>0</v>
      </c>
      <c r="J335" s="4" t="str">
        <f>IFERROR(_xlfn.XLOOKUP(F335,'Hồ sơ phương tiện'!$B:$B,'Hồ sơ phương tiện'!$N:$N),"")</f>
        <v>THIẾU</v>
      </c>
      <c r="K335" s="4" t="str">
        <f>IFERROR(_xlfn.XLOOKUP(F335,'Hồ sơ phương tiện'!$B:$B,'Hồ sơ phương tiện'!$X:$X),"")</f>
        <v>KHÔNG PHÙ HỢP</v>
      </c>
      <c r="L335" s="4" t="str">
        <f t="shared" si="13"/>
        <v>KHÔNG CHO PHÉP</v>
      </c>
    </row>
    <row r="336" spans="1:12" x14ac:dyDescent="0.3">
      <c r="A336" s="4">
        <f t="shared" si="12"/>
        <v>335</v>
      </c>
      <c r="G336" s="4">
        <f>IFERROR(_xlfn.XLOOKUP(F336,'Hồ sơ phương tiện'!$B:$B,'Hồ sơ phương tiện'!$E:$E),"")</f>
        <v>0</v>
      </c>
      <c r="J336" s="4" t="str">
        <f>IFERROR(_xlfn.XLOOKUP(F336,'Hồ sơ phương tiện'!$B:$B,'Hồ sơ phương tiện'!$N:$N),"")</f>
        <v>THIẾU</v>
      </c>
      <c r="K336" s="4" t="str">
        <f>IFERROR(_xlfn.XLOOKUP(F336,'Hồ sơ phương tiện'!$B:$B,'Hồ sơ phương tiện'!$X:$X),"")</f>
        <v>KHÔNG PHÙ HỢP</v>
      </c>
      <c r="L336" s="4" t="str">
        <f t="shared" si="13"/>
        <v>KHÔNG CHO PHÉP</v>
      </c>
    </row>
    <row r="337" spans="1:12" x14ac:dyDescent="0.3">
      <c r="A337" s="4">
        <f t="shared" si="12"/>
        <v>336</v>
      </c>
      <c r="G337" s="4">
        <f>IFERROR(_xlfn.XLOOKUP(F337,'Hồ sơ phương tiện'!$B:$B,'Hồ sơ phương tiện'!$E:$E),"")</f>
        <v>0</v>
      </c>
      <c r="J337" s="4" t="str">
        <f>IFERROR(_xlfn.XLOOKUP(F337,'Hồ sơ phương tiện'!$B:$B,'Hồ sơ phương tiện'!$N:$N),"")</f>
        <v>THIẾU</v>
      </c>
      <c r="K337" s="4" t="str">
        <f>IFERROR(_xlfn.XLOOKUP(F337,'Hồ sơ phương tiện'!$B:$B,'Hồ sơ phương tiện'!$X:$X),"")</f>
        <v>KHÔNG PHÙ HỢP</v>
      </c>
      <c r="L337" s="4" t="str">
        <f t="shared" si="13"/>
        <v>KHÔNG CHO PHÉP</v>
      </c>
    </row>
    <row r="338" spans="1:12" x14ac:dyDescent="0.3">
      <c r="A338" s="4">
        <f t="shared" si="12"/>
        <v>337</v>
      </c>
      <c r="G338" s="4">
        <f>IFERROR(_xlfn.XLOOKUP(F338,'Hồ sơ phương tiện'!$B:$B,'Hồ sơ phương tiện'!$E:$E),"")</f>
        <v>0</v>
      </c>
      <c r="J338" s="4" t="str">
        <f>IFERROR(_xlfn.XLOOKUP(F338,'Hồ sơ phương tiện'!$B:$B,'Hồ sơ phương tiện'!$N:$N),"")</f>
        <v>THIẾU</v>
      </c>
      <c r="K338" s="4" t="str">
        <f>IFERROR(_xlfn.XLOOKUP(F338,'Hồ sơ phương tiện'!$B:$B,'Hồ sơ phương tiện'!$X:$X),"")</f>
        <v>KHÔNG PHÙ HỢP</v>
      </c>
      <c r="L338" s="4" t="str">
        <f t="shared" si="13"/>
        <v>KHÔNG CHO PHÉP</v>
      </c>
    </row>
    <row r="339" spans="1:12" x14ac:dyDescent="0.3">
      <c r="A339" s="4">
        <f t="shared" si="12"/>
        <v>338</v>
      </c>
      <c r="G339" s="4">
        <f>IFERROR(_xlfn.XLOOKUP(F339,'Hồ sơ phương tiện'!$B:$B,'Hồ sơ phương tiện'!$E:$E),"")</f>
        <v>0</v>
      </c>
      <c r="J339" s="4" t="str">
        <f>IFERROR(_xlfn.XLOOKUP(F339,'Hồ sơ phương tiện'!$B:$B,'Hồ sơ phương tiện'!$N:$N),"")</f>
        <v>THIẾU</v>
      </c>
      <c r="K339" s="4" t="str">
        <f>IFERROR(_xlfn.XLOOKUP(F339,'Hồ sơ phương tiện'!$B:$B,'Hồ sơ phương tiện'!$X:$X),"")</f>
        <v>KHÔNG PHÙ HỢP</v>
      </c>
      <c r="L339" s="4" t="str">
        <f t="shared" si="13"/>
        <v>KHÔNG CHO PHÉP</v>
      </c>
    </row>
    <row r="340" spans="1:12" x14ac:dyDescent="0.3">
      <c r="A340" s="4">
        <f t="shared" si="12"/>
        <v>339</v>
      </c>
      <c r="G340" s="4">
        <f>IFERROR(_xlfn.XLOOKUP(F340,'Hồ sơ phương tiện'!$B:$B,'Hồ sơ phương tiện'!$E:$E),"")</f>
        <v>0</v>
      </c>
      <c r="J340" s="4" t="str">
        <f>IFERROR(_xlfn.XLOOKUP(F340,'Hồ sơ phương tiện'!$B:$B,'Hồ sơ phương tiện'!$N:$N),"")</f>
        <v>THIẾU</v>
      </c>
      <c r="K340" s="4" t="str">
        <f>IFERROR(_xlfn.XLOOKUP(F340,'Hồ sơ phương tiện'!$B:$B,'Hồ sơ phương tiện'!$X:$X),"")</f>
        <v>KHÔNG PHÙ HỢP</v>
      </c>
      <c r="L340" s="4" t="str">
        <f t="shared" si="13"/>
        <v>KHÔNG CHO PHÉP</v>
      </c>
    </row>
    <row r="341" spans="1:12" x14ac:dyDescent="0.3">
      <c r="A341" s="4">
        <f t="shared" si="12"/>
        <v>340</v>
      </c>
      <c r="G341" s="4">
        <f>IFERROR(_xlfn.XLOOKUP(F341,'Hồ sơ phương tiện'!$B:$B,'Hồ sơ phương tiện'!$E:$E),"")</f>
        <v>0</v>
      </c>
      <c r="J341" s="4" t="str">
        <f>IFERROR(_xlfn.XLOOKUP(F341,'Hồ sơ phương tiện'!$B:$B,'Hồ sơ phương tiện'!$N:$N),"")</f>
        <v>THIẾU</v>
      </c>
      <c r="K341" s="4" t="str">
        <f>IFERROR(_xlfn.XLOOKUP(F341,'Hồ sơ phương tiện'!$B:$B,'Hồ sơ phương tiện'!$X:$X),"")</f>
        <v>KHÔNG PHÙ HỢP</v>
      </c>
      <c r="L341" s="4" t="str">
        <f t="shared" si="13"/>
        <v>KHÔNG CHO PHÉP</v>
      </c>
    </row>
    <row r="342" spans="1:12" x14ac:dyDescent="0.3">
      <c r="A342" s="4">
        <f t="shared" si="12"/>
        <v>341</v>
      </c>
      <c r="G342" s="4">
        <f>IFERROR(_xlfn.XLOOKUP(F342,'Hồ sơ phương tiện'!$B:$B,'Hồ sơ phương tiện'!$E:$E),"")</f>
        <v>0</v>
      </c>
      <c r="J342" s="4" t="str">
        <f>IFERROR(_xlfn.XLOOKUP(F342,'Hồ sơ phương tiện'!$B:$B,'Hồ sơ phương tiện'!$N:$N),"")</f>
        <v>THIẾU</v>
      </c>
      <c r="K342" s="4" t="str">
        <f>IFERROR(_xlfn.XLOOKUP(F342,'Hồ sơ phương tiện'!$B:$B,'Hồ sơ phương tiện'!$X:$X),"")</f>
        <v>KHÔNG PHÙ HỢP</v>
      </c>
      <c r="L342" s="4" t="str">
        <f t="shared" si="13"/>
        <v>KHÔNG CHO PHÉP</v>
      </c>
    </row>
    <row r="343" spans="1:12" x14ac:dyDescent="0.3">
      <c r="A343" s="4">
        <f t="shared" si="12"/>
        <v>342</v>
      </c>
      <c r="G343" s="4">
        <f>IFERROR(_xlfn.XLOOKUP(F343,'Hồ sơ phương tiện'!$B:$B,'Hồ sơ phương tiện'!$E:$E),"")</f>
        <v>0</v>
      </c>
      <c r="J343" s="4" t="str">
        <f>IFERROR(_xlfn.XLOOKUP(F343,'Hồ sơ phương tiện'!$B:$B,'Hồ sơ phương tiện'!$N:$N),"")</f>
        <v>THIẾU</v>
      </c>
      <c r="K343" s="4" t="str">
        <f>IFERROR(_xlfn.XLOOKUP(F343,'Hồ sơ phương tiện'!$B:$B,'Hồ sơ phương tiện'!$X:$X),"")</f>
        <v>KHÔNG PHÙ HỢP</v>
      </c>
      <c r="L343" s="4" t="str">
        <f t="shared" si="13"/>
        <v>KHÔNG CHO PHÉP</v>
      </c>
    </row>
    <row r="344" spans="1:12" x14ac:dyDescent="0.3">
      <c r="A344" s="4">
        <f t="shared" si="12"/>
        <v>343</v>
      </c>
      <c r="G344" s="4">
        <f>IFERROR(_xlfn.XLOOKUP(F344,'Hồ sơ phương tiện'!$B:$B,'Hồ sơ phương tiện'!$E:$E),"")</f>
        <v>0</v>
      </c>
      <c r="J344" s="4" t="str">
        <f>IFERROR(_xlfn.XLOOKUP(F344,'Hồ sơ phương tiện'!$B:$B,'Hồ sơ phương tiện'!$N:$N),"")</f>
        <v>THIẾU</v>
      </c>
      <c r="K344" s="4" t="str">
        <f>IFERROR(_xlfn.XLOOKUP(F344,'Hồ sơ phương tiện'!$B:$B,'Hồ sơ phương tiện'!$X:$X),"")</f>
        <v>KHÔNG PHÙ HỢP</v>
      </c>
      <c r="L344" s="4" t="str">
        <f t="shared" si="13"/>
        <v>KHÔNG CHO PHÉP</v>
      </c>
    </row>
    <row r="345" spans="1:12" x14ac:dyDescent="0.3">
      <c r="A345" s="4">
        <f t="shared" si="12"/>
        <v>344</v>
      </c>
      <c r="G345" s="4">
        <f>IFERROR(_xlfn.XLOOKUP(F345,'Hồ sơ phương tiện'!$B:$B,'Hồ sơ phương tiện'!$E:$E),"")</f>
        <v>0</v>
      </c>
      <c r="J345" s="4" t="str">
        <f>IFERROR(_xlfn.XLOOKUP(F345,'Hồ sơ phương tiện'!$B:$B,'Hồ sơ phương tiện'!$N:$N),"")</f>
        <v>THIẾU</v>
      </c>
      <c r="K345" s="4" t="str">
        <f>IFERROR(_xlfn.XLOOKUP(F345,'Hồ sơ phương tiện'!$B:$B,'Hồ sơ phương tiện'!$X:$X),"")</f>
        <v>KHÔNG PHÙ HỢP</v>
      </c>
      <c r="L345" s="4" t="str">
        <f t="shared" si="13"/>
        <v>KHÔNG CHO PHÉP</v>
      </c>
    </row>
    <row r="346" spans="1:12" x14ac:dyDescent="0.3">
      <c r="A346" s="4">
        <f t="shared" si="12"/>
        <v>345</v>
      </c>
      <c r="G346" s="4">
        <f>IFERROR(_xlfn.XLOOKUP(F346,'Hồ sơ phương tiện'!$B:$B,'Hồ sơ phương tiện'!$E:$E),"")</f>
        <v>0</v>
      </c>
      <c r="J346" s="4" t="str">
        <f>IFERROR(_xlfn.XLOOKUP(F346,'Hồ sơ phương tiện'!$B:$B,'Hồ sơ phương tiện'!$N:$N),"")</f>
        <v>THIẾU</v>
      </c>
      <c r="K346" s="4" t="str">
        <f>IFERROR(_xlfn.XLOOKUP(F346,'Hồ sơ phương tiện'!$B:$B,'Hồ sơ phương tiện'!$X:$X),"")</f>
        <v>KHÔNG PHÙ HỢP</v>
      </c>
      <c r="L346" s="4" t="str">
        <f t="shared" si="13"/>
        <v>KHÔNG CHO PHÉP</v>
      </c>
    </row>
    <row r="347" spans="1:12" x14ac:dyDescent="0.3">
      <c r="A347" s="4">
        <f t="shared" si="12"/>
        <v>346</v>
      </c>
      <c r="G347" s="4">
        <f>IFERROR(_xlfn.XLOOKUP(F347,'Hồ sơ phương tiện'!$B:$B,'Hồ sơ phương tiện'!$E:$E),"")</f>
        <v>0</v>
      </c>
      <c r="J347" s="4" t="str">
        <f>IFERROR(_xlfn.XLOOKUP(F347,'Hồ sơ phương tiện'!$B:$B,'Hồ sơ phương tiện'!$N:$N),"")</f>
        <v>THIẾU</v>
      </c>
      <c r="K347" s="4" t="str">
        <f>IFERROR(_xlfn.XLOOKUP(F347,'Hồ sơ phương tiện'!$B:$B,'Hồ sơ phương tiện'!$X:$X),"")</f>
        <v>KHÔNG PHÙ HỢP</v>
      </c>
      <c r="L347" s="4" t="str">
        <f t="shared" si="13"/>
        <v>KHÔNG CHO PHÉP</v>
      </c>
    </row>
    <row r="348" spans="1:12" x14ac:dyDescent="0.3">
      <c r="A348" s="4">
        <f t="shared" si="12"/>
        <v>347</v>
      </c>
      <c r="G348" s="4">
        <f>IFERROR(_xlfn.XLOOKUP(F348,'Hồ sơ phương tiện'!$B:$B,'Hồ sơ phương tiện'!$E:$E),"")</f>
        <v>0</v>
      </c>
      <c r="J348" s="4" t="str">
        <f>IFERROR(_xlfn.XLOOKUP(F348,'Hồ sơ phương tiện'!$B:$B,'Hồ sơ phương tiện'!$N:$N),"")</f>
        <v>THIẾU</v>
      </c>
      <c r="K348" s="4" t="str">
        <f>IFERROR(_xlfn.XLOOKUP(F348,'Hồ sơ phương tiện'!$B:$B,'Hồ sơ phương tiện'!$X:$X),"")</f>
        <v>KHÔNG PHÙ HỢP</v>
      </c>
      <c r="L348" s="4" t="str">
        <f t="shared" si="13"/>
        <v>KHÔNG CHO PHÉP</v>
      </c>
    </row>
    <row r="349" spans="1:12" x14ac:dyDescent="0.3">
      <c r="A349" s="4">
        <f t="shared" si="12"/>
        <v>348</v>
      </c>
      <c r="G349" s="4">
        <f>IFERROR(_xlfn.XLOOKUP(F349,'Hồ sơ phương tiện'!$B:$B,'Hồ sơ phương tiện'!$E:$E),"")</f>
        <v>0</v>
      </c>
      <c r="J349" s="4" t="str">
        <f>IFERROR(_xlfn.XLOOKUP(F349,'Hồ sơ phương tiện'!$B:$B,'Hồ sơ phương tiện'!$N:$N),"")</f>
        <v>THIẾU</v>
      </c>
      <c r="K349" s="4" t="str">
        <f>IFERROR(_xlfn.XLOOKUP(F349,'Hồ sơ phương tiện'!$B:$B,'Hồ sơ phương tiện'!$X:$X),"")</f>
        <v>KHÔNG PHÙ HỢP</v>
      </c>
      <c r="L349" s="4" t="str">
        <f t="shared" si="13"/>
        <v>KHÔNG CHO PHÉP</v>
      </c>
    </row>
    <row r="350" spans="1:12" x14ac:dyDescent="0.3">
      <c r="A350" s="4">
        <f t="shared" si="12"/>
        <v>349</v>
      </c>
      <c r="G350" s="4">
        <f>IFERROR(_xlfn.XLOOKUP(F350,'Hồ sơ phương tiện'!$B:$B,'Hồ sơ phương tiện'!$E:$E),"")</f>
        <v>0</v>
      </c>
      <c r="J350" s="4" t="str">
        <f>IFERROR(_xlfn.XLOOKUP(F350,'Hồ sơ phương tiện'!$B:$B,'Hồ sơ phương tiện'!$N:$N),"")</f>
        <v>THIẾU</v>
      </c>
      <c r="K350" s="4" t="str">
        <f>IFERROR(_xlfn.XLOOKUP(F350,'Hồ sơ phương tiện'!$B:$B,'Hồ sơ phương tiện'!$X:$X),"")</f>
        <v>KHÔNG PHÙ HỢP</v>
      </c>
      <c r="L350" s="4" t="str">
        <f t="shared" si="13"/>
        <v>KHÔNG CHO PHÉP</v>
      </c>
    </row>
    <row r="351" spans="1:12" x14ac:dyDescent="0.3">
      <c r="A351" s="4">
        <f t="shared" si="12"/>
        <v>350</v>
      </c>
      <c r="G351" s="4">
        <f>IFERROR(_xlfn.XLOOKUP(F351,'Hồ sơ phương tiện'!$B:$B,'Hồ sơ phương tiện'!$E:$E),"")</f>
        <v>0</v>
      </c>
      <c r="J351" s="4" t="str">
        <f>IFERROR(_xlfn.XLOOKUP(F351,'Hồ sơ phương tiện'!$B:$B,'Hồ sơ phương tiện'!$N:$N),"")</f>
        <v>THIẾU</v>
      </c>
      <c r="K351" s="4" t="str">
        <f>IFERROR(_xlfn.XLOOKUP(F351,'Hồ sơ phương tiện'!$B:$B,'Hồ sơ phương tiện'!$X:$X),"")</f>
        <v>KHÔNG PHÙ HỢP</v>
      </c>
      <c r="L351" s="4" t="str">
        <f t="shared" si="13"/>
        <v>KHÔNG CHO PHÉP</v>
      </c>
    </row>
    <row r="352" spans="1:12" x14ac:dyDescent="0.3">
      <c r="A352" s="4">
        <f t="shared" si="12"/>
        <v>351</v>
      </c>
      <c r="G352" s="4">
        <f>IFERROR(_xlfn.XLOOKUP(F352,'Hồ sơ phương tiện'!$B:$B,'Hồ sơ phương tiện'!$E:$E),"")</f>
        <v>0</v>
      </c>
      <c r="J352" s="4" t="str">
        <f>IFERROR(_xlfn.XLOOKUP(F352,'Hồ sơ phương tiện'!$B:$B,'Hồ sơ phương tiện'!$N:$N),"")</f>
        <v>THIẾU</v>
      </c>
      <c r="K352" s="4" t="str">
        <f>IFERROR(_xlfn.XLOOKUP(F352,'Hồ sơ phương tiện'!$B:$B,'Hồ sơ phương tiện'!$X:$X),"")</f>
        <v>KHÔNG PHÙ HỢP</v>
      </c>
      <c r="L352" s="4" t="str">
        <f t="shared" si="13"/>
        <v>KHÔNG CHO PHÉP</v>
      </c>
    </row>
    <row r="353" spans="1:12" x14ac:dyDescent="0.3">
      <c r="A353" s="4">
        <f t="shared" si="12"/>
        <v>352</v>
      </c>
      <c r="G353" s="4">
        <f>IFERROR(_xlfn.XLOOKUP(F353,'Hồ sơ phương tiện'!$B:$B,'Hồ sơ phương tiện'!$E:$E),"")</f>
        <v>0</v>
      </c>
      <c r="J353" s="4" t="str">
        <f>IFERROR(_xlfn.XLOOKUP(F353,'Hồ sơ phương tiện'!$B:$B,'Hồ sơ phương tiện'!$N:$N),"")</f>
        <v>THIẾU</v>
      </c>
      <c r="K353" s="4" t="str">
        <f>IFERROR(_xlfn.XLOOKUP(F353,'Hồ sơ phương tiện'!$B:$B,'Hồ sơ phương tiện'!$X:$X),"")</f>
        <v>KHÔNG PHÙ HỢP</v>
      </c>
      <c r="L353" s="4" t="str">
        <f t="shared" si="13"/>
        <v>KHÔNG CHO PHÉP</v>
      </c>
    </row>
    <row r="354" spans="1:12" x14ac:dyDescent="0.3">
      <c r="A354" s="4">
        <f t="shared" si="12"/>
        <v>353</v>
      </c>
      <c r="G354" s="4">
        <f>IFERROR(_xlfn.XLOOKUP(F354,'Hồ sơ phương tiện'!$B:$B,'Hồ sơ phương tiện'!$E:$E),"")</f>
        <v>0</v>
      </c>
      <c r="J354" s="4" t="str">
        <f>IFERROR(_xlfn.XLOOKUP(F354,'Hồ sơ phương tiện'!$B:$B,'Hồ sơ phương tiện'!$N:$N),"")</f>
        <v>THIẾU</v>
      </c>
      <c r="K354" s="4" t="str">
        <f>IFERROR(_xlfn.XLOOKUP(F354,'Hồ sơ phương tiện'!$B:$B,'Hồ sơ phương tiện'!$X:$X),"")</f>
        <v>KHÔNG PHÙ HỢP</v>
      </c>
      <c r="L354" s="4" t="str">
        <f t="shared" si="13"/>
        <v>KHÔNG CHO PHÉP</v>
      </c>
    </row>
    <row r="355" spans="1:12" x14ac:dyDescent="0.3">
      <c r="A355" s="4">
        <f t="shared" si="12"/>
        <v>354</v>
      </c>
      <c r="G355" s="4">
        <f>IFERROR(_xlfn.XLOOKUP(F355,'Hồ sơ phương tiện'!$B:$B,'Hồ sơ phương tiện'!$E:$E),"")</f>
        <v>0</v>
      </c>
      <c r="J355" s="4" t="str">
        <f>IFERROR(_xlfn.XLOOKUP(F355,'Hồ sơ phương tiện'!$B:$B,'Hồ sơ phương tiện'!$N:$N),"")</f>
        <v>THIẾU</v>
      </c>
      <c r="K355" s="4" t="str">
        <f>IFERROR(_xlfn.XLOOKUP(F355,'Hồ sơ phương tiện'!$B:$B,'Hồ sơ phương tiện'!$X:$X),"")</f>
        <v>KHÔNG PHÙ HỢP</v>
      </c>
      <c r="L355" s="4" t="str">
        <f t="shared" si="13"/>
        <v>KHÔNG CHO PHÉP</v>
      </c>
    </row>
    <row r="356" spans="1:12" x14ac:dyDescent="0.3">
      <c r="A356" s="4">
        <f t="shared" si="12"/>
        <v>355</v>
      </c>
      <c r="G356" s="4">
        <f>IFERROR(_xlfn.XLOOKUP(F356,'Hồ sơ phương tiện'!$B:$B,'Hồ sơ phương tiện'!$E:$E),"")</f>
        <v>0</v>
      </c>
      <c r="J356" s="4" t="str">
        <f>IFERROR(_xlfn.XLOOKUP(F356,'Hồ sơ phương tiện'!$B:$B,'Hồ sơ phương tiện'!$N:$N),"")</f>
        <v>THIẾU</v>
      </c>
      <c r="K356" s="4" t="str">
        <f>IFERROR(_xlfn.XLOOKUP(F356,'Hồ sơ phương tiện'!$B:$B,'Hồ sơ phương tiện'!$X:$X),"")</f>
        <v>KHÔNG PHÙ HỢP</v>
      </c>
      <c r="L356" s="4" t="str">
        <f t="shared" si="13"/>
        <v>KHÔNG CHO PHÉP</v>
      </c>
    </row>
    <row r="357" spans="1:12" x14ac:dyDescent="0.3">
      <c r="A357" s="4">
        <f t="shared" si="12"/>
        <v>356</v>
      </c>
      <c r="G357" s="4">
        <f>IFERROR(_xlfn.XLOOKUP(F357,'Hồ sơ phương tiện'!$B:$B,'Hồ sơ phương tiện'!$E:$E),"")</f>
        <v>0</v>
      </c>
      <c r="J357" s="4" t="str">
        <f>IFERROR(_xlfn.XLOOKUP(F357,'Hồ sơ phương tiện'!$B:$B,'Hồ sơ phương tiện'!$N:$N),"")</f>
        <v>THIẾU</v>
      </c>
      <c r="K357" s="4" t="str">
        <f>IFERROR(_xlfn.XLOOKUP(F357,'Hồ sơ phương tiện'!$B:$B,'Hồ sơ phương tiện'!$X:$X),"")</f>
        <v>KHÔNG PHÙ HỢP</v>
      </c>
      <c r="L357" s="4" t="str">
        <f t="shared" si="13"/>
        <v>KHÔNG CHO PHÉP</v>
      </c>
    </row>
    <row r="358" spans="1:12" x14ac:dyDescent="0.3">
      <c r="A358" s="4">
        <f t="shared" si="12"/>
        <v>357</v>
      </c>
      <c r="G358" s="4">
        <f>IFERROR(_xlfn.XLOOKUP(F358,'Hồ sơ phương tiện'!$B:$B,'Hồ sơ phương tiện'!$E:$E),"")</f>
        <v>0</v>
      </c>
      <c r="J358" s="4" t="str">
        <f>IFERROR(_xlfn.XLOOKUP(F358,'Hồ sơ phương tiện'!$B:$B,'Hồ sơ phương tiện'!$N:$N),"")</f>
        <v>THIẾU</v>
      </c>
      <c r="K358" s="4" t="str">
        <f>IFERROR(_xlfn.XLOOKUP(F358,'Hồ sơ phương tiện'!$B:$B,'Hồ sơ phương tiện'!$X:$X),"")</f>
        <v>KHÔNG PHÙ HỢP</v>
      </c>
      <c r="L358" s="4" t="str">
        <f t="shared" si="13"/>
        <v>KHÔNG CHO PHÉP</v>
      </c>
    </row>
    <row r="359" spans="1:12" x14ac:dyDescent="0.3">
      <c r="A359" s="4">
        <f t="shared" si="12"/>
        <v>358</v>
      </c>
      <c r="G359" s="4">
        <f>IFERROR(_xlfn.XLOOKUP(F359,'Hồ sơ phương tiện'!$B:$B,'Hồ sơ phương tiện'!$E:$E),"")</f>
        <v>0</v>
      </c>
      <c r="J359" s="4" t="str">
        <f>IFERROR(_xlfn.XLOOKUP(F359,'Hồ sơ phương tiện'!$B:$B,'Hồ sơ phương tiện'!$N:$N),"")</f>
        <v>THIẾU</v>
      </c>
      <c r="K359" s="4" t="str">
        <f>IFERROR(_xlfn.XLOOKUP(F359,'Hồ sơ phương tiện'!$B:$B,'Hồ sơ phương tiện'!$X:$X),"")</f>
        <v>KHÔNG PHÙ HỢP</v>
      </c>
      <c r="L359" s="4" t="str">
        <f t="shared" si="13"/>
        <v>KHÔNG CHO PHÉP</v>
      </c>
    </row>
    <row r="360" spans="1:12" x14ac:dyDescent="0.3">
      <c r="A360" s="4">
        <f t="shared" si="12"/>
        <v>359</v>
      </c>
      <c r="G360" s="4">
        <f>IFERROR(_xlfn.XLOOKUP(F360,'Hồ sơ phương tiện'!$B:$B,'Hồ sơ phương tiện'!$E:$E),"")</f>
        <v>0</v>
      </c>
      <c r="J360" s="4" t="str">
        <f>IFERROR(_xlfn.XLOOKUP(F360,'Hồ sơ phương tiện'!$B:$B,'Hồ sơ phương tiện'!$N:$N),"")</f>
        <v>THIẾU</v>
      </c>
      <c r="K360" s="4" t="str">
        <f>IFERROR(_xlfn.XLOOKUP(F360,'Hồ sơ phương tiện'!$B:$B,'Hồ sơ phương tiện'!$X:$X),"")</f>
        <v>KHÔNG PHÙ HỢP</v>
      </c>
      <c r="L360" s="4" t="str">
        <f t="shared" si="13"/>
        <v>KHÔNG CHO PHÉP</v>
      </c>
    </row>
    <row r="361" spans="1:12" x14ac:dyDescent="0.3">
      <c r="A361" s="4">
        <f t="shared" si="12"/>
        <v>360</v>
      </c>
      <c r="G361" s="4">
        <f>IFERROR(_xlfn.XLOOKUP(F361,'Hồ sơ phương tiện'!$B:$B,'Hồ sơ phương tiện'!$E:$E),"")</f>
        <v>0</v>
      </c>
      <c r="J361" s="4" t="str">
        <f>IFERROR(_xlfn.XLOOKUP(F361,'Hồ sơ phương tiện'!$B:$B,'Hồ sơ phương tiện'!$N:$N),"")</f>
        <v>THIẾU</v>
      </c>
      <c r="K361" s="4" t="str">
        <f>IFERROR(_xlfn.XLOOKUP(F361,'Hồ sơ phương tiện'!$B:$B,'Hồ sơ phương tiện'!$X:$X),"")</f>
        <v>KHÔNG PHÙ HỢP</v>
      </c>
      <c r="L361" s="4" t="str">
        <f t="shared" si="13"/>
        <v>KHÔNG CHO PHÉP</v>
      </c>
    </row>
    <row r="362" spans="1:12" x14ac:dyDescent="0.3">
      <c r="A362" s="4">
        <f t="shared" si="12"/>
        <v>361</v>
      </c>
      <c r="G362" s="4">
        <f>IFERROR(_xlfn.XLOOKUP(F362,'Hồ sơ phương tiện'!$B:$B,'Hồ sơ phương tiện'!$E:$E),"")</f>
        <v>0</v>
      </c>
      <c r="J362" s="4" t="str">
        <f>IFERROR(_xlfn.XLOOKUP(F362,'Hồ sơ phương tiện'!$B:$B,'Hồ sơ phương tiện'!$N:$N),"")</f>
        <v>THIẾU</v>
      </c>
      <c r="K362" s="4" t="str">
        <f>IFERROR(_xlfn.XLOOKUP(F362,'Hồ sơ phương tiện'!$B:$B,'Hồ sơ phương tiện'!$X:$X),"")</f>
        <v>KHÔNG PHÙ HỢP</v>
      </c>
      <c r="L362" s="4" t="str">
        <f t="shared" si="13"/>
        <v>KHÔNG CHO PHÉP</v>
      </c>
    </row>
    <row r="363" spans="1:12" x14ac:dyDescent="0.3">
      <c r="A363" s="4">
        <f t="shared" si="12"/>
        <v>362</v>
      </c>
      <c r="G363" s="4">
        <f>IFERROR(_xlfn.XLOOKUP(F363,'Hồ sơ phương tiện'!$B:$B,'Hồ sơ phương tiện'!$E:$E),"")</f>
        <v>0</v>
      </c>
      <c r="J363" s="4" t="str">
        <f>IFERROR(_xlfn.XLOOKUP(F363,'Hồ sơ phương tiện'!$B:$B,'Hồ sơ phương tiện'!$N:$N),"")</f>
        <v>THIẾU</v>
      </c>
      <c r="K363" s="4" t="str">
        <f>IFERROR(_xlfn.XLOOKUP(F363,'Hồ sơ phương tiện'!$B:$B,'Hồ sơ phương tiện'!$X:$X),"")</f>
        <v>KHÔNG PHÙ HỢP</v>
      </c>
      <c r="L363" s="4" t="str">
        <f t="shared" si="13"/>
        <v>KHÔNG CHO PHÉP</v>
      </c>
    </row>
    <row r="364" spans="1:12" x14ac:dyDescent="0.3">
      <c r="A364" s="4">
        <f t="shared" si="12"/>
        <v>363</v>
      </c>
      <c r="G364" s="4">
        <f>IFERROR(_xlfn.XLOOKUP(F364,'Hồ sơ phương tiện'!$B:$B,'Hồ sơ phương tiện'!$E:$E),"")</f>
        <v>0</v>
      </c>
      <c r="J364" s="4" t="str">
        <f>IFERROR(_xlfn.XLOOKUP(F364,'Hồ sơ phương tiện'!$B:$B,'Hồ sơ phương tiện'!$N:$N),"")</f>
        <v>THIẾU</v>
      </c>
      <c r="K364" s="4" t="str">
        <f>IFERROR(_xlfn.XLOOKUP(F364,'Hồ sơ phương tiện'!$B:$B,'Hồ sơ phương tiện'!$X:$X),"")</f>
        <v>KHÔNG PHÙ HỢP</v>
      </c>
      <c r="L364" s="4" t="str">
        <f t="shared" si="13"/>
        <v>KHÔNG CHO PHÉP</v>
      </c>
    </row>
    <row r="365" spans="1:12" x14ac:dyDescent="0.3">
      <c r="A365" s="4">
        <f t="shared" si="12"/>
        <v>364</v>
      </c>
      <c r="G365" s="4">
        <f>IFERROR(_xlfn.XLOOKUP(F365,'Hồ sơ phương tiện'!$B:$B,'Hồ sơ phương tiện'!$E:$E),"")</f>
        <v>0</v>
      </c>
      <c r="J365" s="4" t="str">
        <f>IFERROR(_xlfn.XLOOKUP(F365,'Hồ sơ phương tiện'!$B:$B,'Hồ sơ phương tiện'!$N:$N),"")</f>
        <v>THIẾU</v>
      </c>
      <c r="K365" s="4" t="str">
        <f>IFERROR(_xlfn.XLOOKUP(F365,'Hồ sơ phương tiện'!$B:$B,'Hồ sơ phương tiện'!$X:$X),"")</f>
        <v>KHÔNG PHÙ HỢP</v>
      </c>
      <c r="L365" s="4" t="str">
        <f t="shared" si="13"/>
        <v>KHÔNG CHO PHÉP</v>
      </c>
    </row>
    <row r="366" spans="1:12" x14ac:dyDescent="0.3">
      <c r="A366" s="4">
        <f t="shared" si="12"/>
        <v>365</v>
      </c>
      <c r="G366" s="4">
        <f>IFERROR(_xlfn.XLOOKUP(F366,'Hồ sơ phương tiện'!$B:$B,'Hồ sơ phương tiện'!$E:$E),"")</f>
        <v>0</v>
      </c>
      <c r="J366" s="4" t="str">
        <f>IFERROR(_xlfn.XLOOKUP(F366,'Hồ sơ phương tiện'!$B:$B,'Hồ sơ phương tiện'!$N:$N),"")</f>
        <v>THIẾU</v>
      </c>
      <c r="K366" s="4" t="str">
        <f>IFERROR(_xlfn.XLOOKUP(F366,'Hồ sơ phương tiện'!$B:$B,'Hồ sơ phương tiện'!$X:$X),"")</f>
        <v>KHÔNG PHÙ HỢP</v>
      </c>
      <c r="L366" s="4" t="str">
        <f t="shared" si="13"/>
        <v>KHÔNG CHO PHÉP</v>
      </c>
    </row>
    <row r="367" spans="1:12" x14ac:dyDescent="0.3">
      <c r="A367" s="4">
        <f t="shared" si="12"/>
        <v>366</v>
      </c>
      <c r="G367" s="4">
        <f>IFERROR(_xlfn.XLOOKUP(F367,'Hồ sơ phương tiện'!$B:$B,'Hồ sơ phương tiện'!$E:$E),"")</f>
        <v>0</v>
      </c>
      <c r="J367" s="4" t="str">
        <f>IFERROR(_xlfn.XLOOKUP(F367,'Hồ sơ phương tiện'!$B:$B,'Hồ sơ phương tiện'!$N:$N),"")</f>
        <v>THIẾU</v>
      </c>
      <c r="K367" s="4" t="str">
        <f>IFERROR(_xlfn.XLOOKUP(F367,'Hồ sơ phương tiện'!$B:$B,'Hồ sơ phương tiện'!$X:$X),"")</f>
        <v>KHÔNG PHÙ HỢP</v>
      </c>
      <c r="L367" s="4" t="str">
        <f t="shared" si="13"/>
        <v>KHÔNG CHO PHÉP</v>
      </c>
    </row>
    <row r="368" spans="1:12" x14ac:dyDescent="0.3">
      <c r="A368" s="4">
        <f t="shared" si="12"/>
        <v>367</v>
      </c>
      <c r="G368" s="4">
        <f>IFERROR(_xlfn.XLOOKUP(F368,'Hồ sơ phương tiện'!$B:$B,'Hồ sơ phương tiện'!$E:$E),"")</f>
        <v>0</v>
      </c>
      <c r="J368" s="4" t="str">
        <f>IFERROR(_xlfn.XLOOKUP(F368,'Hồ sơ phương tiện'!$B:$B,'Hồ sơ phương tiện'!$N:$N),"")</f>
        <v>THIẾU</v>
      </c>
      <c r="K368" s="4" t="str">
        <f>IFERROR(_xlfn.XLOOKUP(F368,'Hồ sơ phương tiện'!$B:$B,'Hồ sơ phương tiện'!$X:$X),"")</f>
        <v>KHÔNG PHÙ HỢP</v>
      </c>
      <c r="L368" s="4" t="str">
        <f t="shared" si="13"/>
        <v>KHÔNG CHO PHÉP</v>
      </c>
    </row>
    <row r="369" spans="1:12" x14ac:dyDescent="0.3">
      <c r="A369" s="4">
        <f t="shared" si="12"/>
        <v>368</v>
      </c>
      <c r="G369" s="4">
        <f>IFERROR(_xlfn.XLOOKUP(F369,'Hồ sơ phương tiện'!$B:$B,'Hồ sơ phương tiện'!$E:$E),"")</f>
        <v>0</v>
      </c>
      <c r="J369" s="4" t="str">
        <f>IFERROR(_xlfn.XLOOKUP(F369,'Hồ sơ phương tiện'!$B:$B,'Hồ sơ phương tiện'!$N:$N),"")</f>
        <v>THIẾU</v>
      </c>
      <c r="K369" s="4" t="str">
        <f>IFERROR(_xlfn.XLOOKUP(F369,'Hồ sơ phương tiện'!$B:$B,'Hồ sơ phương tiện'!$X:$X),"")</f>
        <v>KHÔNG PHÙ HỢP</v>
      </c>
      <c r="L369" s="4" t="str">
        <f t="shared" si="13"/>
        <v>KHÔNG CHO PHÉP</v>
      </c>
    </row>
    <row r="370" spans="1:12" x14ac:dyDescent="0.3">
      <c r="A370" s="4">
        <f t="shared" si="12"/>
        <v>369</v>
      </c>
      <c r="G370" s="4">
        <f>IFERROR(_xlfn.XLOOKUP(F370,'Hồ sơ phương tiện'!$B:$B,'Hồ sơ phương tiện'!$E:$E),"")</f>
        <v>0</v>
      </c>
      <c r="J370" s="4" t="str">
        <f>IFERROR(_xlfn.XLOOKUP(F370,'Hồ sơ phương tiện'!$B:$B,'Hồ sơ phương tiện'!$N:$N),"")</f>
        <v>THIẾU</v>
      </c>
      <c r="K370" s="4" t="str">
        <f>IFERROR(_xlfn.XLOOKUP(F370,'Hồ sơ phương tiện'!$B:$B,'Hồ sơ phương tiện'!$X:$X),"")</f>
        <v>KHÔNG PHÙ HỢP</v>
      </c>
      <c r="L370" s="4" t="str">
        <f t="shared" si="13"/>
        <v>KHÔNG CHO PHÉP</v>
      </c>
    </row>
    <row r="371" spans="1:12" x14ac:dyDescent="0.3">
      <c r="A371" s="4">
        <f t="shared" si="12"/>
        <v>370</v>
      </c>
      <c r="G371" s="4">
        <f>IFERROR(_xlfn.XLOOKUP(F371,'Hồ sơ phương tiện'!$B:$B,'Hồ sơ phương tiện'!$E:$E),"")</f>
        <v>0</v>
      </c>
      <c r="J371" s="4" t="str">
        <f>IFERROR(_xlfn.XLOOKUP(F371,'Hồ sơ phương tiện'!$B:$B,'Hồ sơ phương tiện'!$N:$N),"")</f>
        <v>THIẾU</v>
      </c>
      <c r="K371" s="4" t="str">
        <f>IFERROR(_xlfn.XLOOKUP(F371,'Hồ sơ phương tiện'!$B:$B,'Hồ sơ phương tiện'!$X:$X),"")</f>
        <v>KHÔNG PHÙ HỢP</v>
      </c>
      <c r="L371" s="4" t="str">
        <f t="shared" si="13"/>
        <v>KHÔNG CHO PHÉP</v>
      </c>
    </row>
    <row r="372" spans="1:12" x14ac:dyDescent="0.3">
      <c r="A372" s="4">
        <f t="shared" si="12"/>
        <v>371</v>
      </c>
      <c r="G372" s="4">
        <f>IFERROR(_xlfn.XLOOKUP(F372,'Hồ sơ phương tiện'!$B:$B,'Hồ sơ phương tiện'!$E:$E),"")</f>
        <v>0</v>
      </c>
      <c r="J372" s="4" t="str">
        <f>IFERROR(_xlfn.XLOOKUP(F372,'Hồ sơ phương tiện'!$B:$B,'Hồ sơ phương tiện'!$N:$N),"")</f>
        <v>THIẾU</v>
      </c>
      <c r="K372" s="4" t="str">
        <f>IFERROR(_xlfn.XLOOKUP(F372,'Hồ sơ phương tiện'!$B:$B,'Hồ sơ phương tiện'!$X:$X),"")</f>
        <v>KHÔNG PHÙ HỢP</v>
      </c>
      <c r="L372" s="4" t="str">
        <f t="shared" si="13"/>
        <v>KHÔNG CHO PHÉP</v>
      </c>
    </row>
    <row r="373" spans="1:12" x14ac:dyDescent="0.3">
      <c r="A373" s="4">
        <f t="shared" si="12"/>
        <v>372</v>
      </c>
      <c r="G373" s="4">
        <f>IFERROR(_xlfn.XLOOKUP(F373,'Hồ sơ phương tiện'!$B:$B,'Hồ sơ phương tiện'!$E:$E),"")</f>
        <v>0</v>
      </c>
      <c r="J373" s="4" t="str">
        <f>IFERROR(_xlfn.XLOOKUP(F373,'Hồ sơ phương tiện'!$B:$B,'Hồ sơ phương tiện'!$N:$N),"")</f>
        <v>THIẾU</v>
      </c>
      <c r="K373" s="4" t="str">
        <f>IFERROR(_xlfn.XLOOKUP(F373,'Hồ sơ phương tiện'!$B:$B,'Hồ sơ phương tiện'!$X:$X),"")</f>
        <v>KHÔNG PHÙ HỢP</v>
      </c>
      <c r="L373" s="4" t="str">
        <f t="shared" si="13"/>
        <v>KHÔNG CHO PHÉP</v>
      </c>
    </row>
    <row r="374" spans="1:12" x14ac:dyDescent="0.3">
      <c r="A374" s="4">
        <f t="shared" si="12"/>
        <v>373</v>
      </c>
      <c r="G374" s="4">
        <f>IFERROR(_xlfn.XLOOKUP(F374,'Hồ sơ phương tiện'!$B:$B,'Hồ sơ phương tiện'!$E:$E),"")</f>
        <v>0</v>
      </c>
      <c r="J374" s="4" t="str">
        <f>IFERROR(_xlfn.XLOOKUP(F374,'Hồ sơ phương tiện'!$B:$B,'Hồ sơ phương tiện'!$N:$N),"")</f>
        <v>THIẾU</v>
      </c>
      <c r="K374" s="4" t="str">
        <f>IFERROR(_xlfn.XLOOKUP(F374,'Hồ sơ phương tiện'!$B:$B,'Hồ sơ phương tiện'!$X:$X),"")</f>
        <v>KHÔNG PHÙ HỢP</v>
      </c>
      <c r="L374" s="4" t="str">
        <f t="shared" si="13"/>
        <v>KHÔNG CHO PHÉP</v>
      </c>
    </row>
    <row r="375" spans="1:12" x14ac:dyDescent="0.3">
      <c r="A375" s="4">
        <f t="shared" si="12"/>
        <v>374</v>
      </c>
      <c r="G375" s="4">
        <f>IFERROR(_xlfn.XLOOKUP(F375,'Hồ sơ phương tiện'!$B:$B,'Hồ sơ phương tiện'!$E:$E),"")</f>
        <v>0</v>
      </c>
      <c r="J375" s="4" t="str">
        <f>IFERROR(_xlfn.XLOOKUP(F375,'Hồ sơ phương tiện'!$B:$B,'Hồ sơ phương tiện'!$N:$N),"")</f>
        <v>THIẾU</v>
      </c>
      <c r="K375" s="4" t="str">
        <f>IFERROR(_xlfn.XLOOKUP(F375,'Hồ sơ phương tiện'!$B:$B,'Hồ sơ phương tiện'!$X:$X),"")</f>
        <v>KHÔNG PHÙ HỢP</v>
      </c>
      <c r="L375" s="4" t="str">
        <f t="shared" si="13"/>
        <v>KHÔNG CHO PHÉP</v>
      </c>
    </row>
    <row r="376" spans="1:12" x14ac:dyDescent="0.3">
      <c r="A376" s="4">
        <f t="shared" si="12"/>
        <v>375</v>
      </c>
      <c r="G376" s="4">
        <f>IFERROR(_xlfn.XLOOKUP(F376,'Hồ sơ phương tiện'!$B:$B,'Hồ sơ phương tiện'!$E:$E),"")</f>
        <v>0</v>
      </c>
      <c r="J376" s="4" t="str">
        <f>IFERROR(_xlfn.XLOOKUP(F376,'Hồ sơ phương tiện'!$B:$B,'Hồ sơ phương tiện'!$N:$N),"")</f>
        <v>THIẾU</v>
      </c>
      <c r="K376" s="4" t="str">
        <f>IFERROR(_xlfn.XLOOKUP(F376,'Hồ sơ phương tiện'!$B:$B,'Hồ sơ phương tiện'!$X:$X),"")</f>
        <v>KHÔNG PHÙ HỢP</v>
      </c>
      <c r="L376" s="4" t="str">
        <f t="shared" si="13"/>
        <v>KHÔNG CHO PHÉP</v>
      </c>
    </row>
    <row r="377" spans="1:12" x14ac:dyDescent="0.3">
      <c r="A377" s="4">
        <f t="shared" si="12"/>
        <v>376</v>
      </c>
      <c r="G377" s="4">
        <f>IFERROR(_xlfn.XLOOKUP(F377,'Hồ sơ phương tiện'!$B:$B,'Hồ sơ phương tiện'!$E:$E),"")</f>
        <v>0</v>
      </c>
      <c r="J377" s="4" t="str">
        <f>IFERROR(_xlfn.XLOOKUP(F377,'Hồ sơ phương tiện'!$B:$B,'Hồ sơ phương tiện'!$N:$N),"")</f>
        <v>THIẾU</v>
      </c>
      <c r="K377" s="4" t="str">
        <f>IFERROR(_xlfn.XLOOKUP(F377,'Hồ sơ phương tiện'!$B:$B,'Hồ sơ phương tiện'!$X:$X),"")</f>
        <v>KHÔNG PHÙ HỢP</v>
      </c>
      <c r="L377" s="4" t="str">
        <f t="shared" si="13"/>
        <v>KHÔNG CHO PHÉP</v>
      </c>
    </row>
    <row r="378" spans="1:12" x14ac:dyDescent="0.3">
      <c r="A378" s="4">
        <f t="shared" si="12"/>
        <v>377</v>
      </c>
      <c r="G378" s="4">
        <f>IFERROR(_xlfn.XLOOKUP(F378,'Hồ sơ phương tiện'!$B:$B,'Hồ sơ phương tiện'!$E:$E),"")</f>
        <v>0</v>
      </c>
      <c r="J378" s="4" t="str">
        <f>IFERROR(_xlfn.XLOOKUP(F378,'Hồ sơ phương tiện'!$B:$B,'Hồ sơ phương tiện'!$N:$N),"")</f>
        <v>THIẾU</v>
      </c>
      <c r="K378" s="4" t="str">
        <f>IFERROR(_xlfn.XLOOKUP(F378,'Hồ sơ phương tiện'!$B:$B,'Hồ sơ phương tiện'!$X:$X),"")</f>
        <v>KHÔNG PHÙ HỢP</v>
      </c>
      <c r="L378" s="4" t="str">
        <f t="shared" si="13"/>
        <v>KHÔNG CHO PHÉP</v>
      </c>
    </row>
    <row r="379" spans="1:12" x14ac:dyDescent="0.3">
      <c r="A379" s="4">
        <f t="shared" si="12"/>
        <v>378</v>
      </c>
      <c r="G379" s="4">
        <f>IFERROR(_xlfn.XLOOKUP(F379,'Hồ sơ phương tiện'!$B:$B,'Hồ sơ phương tiện'!$E:$E),"")</f>
        <v>0</v>
      </c>
      <c r="J379" s="4" t="str">
        <f>IFERROR(_xlfn.XLOOKUP(F379,'Hồ sơ phương tiện'!$B:$B,'Hồ sơ phương tiện'!$N:$N),"")</f>
        <v>THIẾU</v>
      </c>
      <c r="K379" s="4" t="str">
        <f>IFERROR(_xlfn.XLOOKUP(F379,'Hồ sơ phương tiện'!$B:$B,'Hồ sơ phương tiện'!$X:$X),"")</f>
        <v>KHÔNG PHÙ HỢP</v>
      </c>
      <c r="L379" s="4" t="str">
        <f t="shared" si="13"/>
        <v>KHÔNG CHO PHÉP</v>
      </c>
    </row>
    <row r="380" spans="1:12" x14ac:dyDescent="0.3">
      <c r="A380" s="4">
        <f t="shared" si="12"/>
        <v>379</v>
      </c>
      <c r="G380" s="4">
        <f>IFERROR(_xlfn.XLOOKUP(F380,'Hồ sơ phương tiện'!$B:$B,'Hồ sơ phương tiện'!$E:$E),"")</f>
        <v>0</v>
      </c>
      <c r="J380" s="4" t="str">
        <f>IFERROR(_xlfn.XLOOKUP(F380,'Hồ sơ phương tiện'!$B:$B,'Hồ sơ phương tiện'!$N:$N),"")</f>
        <v>THIẾU</v>
      </c>
      <c r="K380" s="4" t="str">
        <f>IFERROR(_xlfn.XLOOKUP(F380,'Hồ sơ phương tiện'!$B:$B,'Hồ sơ phương tiện'!$X:$X),"")</f>
        <v>KHÔNG PHÙ HỢP</v>
      </c>
      <c r="L380" s="4" t="str">
        <f t="shared" si="13"/>
        <v>KHÔNG CHO PHÉP</v>
      </c>
    </row>
    <row r="381" spans="1:12" x14ac:dyDescent="0.3">
      <c r="A381" s="4">
        <f t="shared" si="12"/>
        <v>380</v>
      </c>
      <c r="G381" s="4">
        <f>IFERROR(_xlfn.XLOOKUP(F381,'Hồ sơ phương tiện'!$B:$B,'Hồ sơ phương tiện'!$E:$E),"")</f>
        <v>0</v>
      </c>
      <c r="J381" s="4" t="str">
        <f>IFERROR(_xlfn.XLOOKUP(F381,'Hồ sơ phương tiện'!$B:$B,'Hồ sơ phương tiện'!$N:$N),"")</f>
        <v>THIẾU</v>
      </c>
      <c r="K381" s="4" t="str">
        <f>IFERROR(_xlfn.XLOOKUP(F381,'Hồ sơ phương tiện'!$B:$B,'Hồ sơ phương tiện'!$X:$X),"")</f>
        <v>KHÔNG PHÙ HỢP</v>
      </c>
      <c r="L381" s="4" t="str">
        <f t="shared" si="13"/>
        <v>KHÔNG CHO PHÉP</v>
      </c>
    </row>
    <row r="382" spans="1:12" x14ac:dyDescent="0.3">
      <c r="A382" s="4">
        <f t="shared" si="12"/>
        <v>381</v>
      </c>
      <c r="G382" s="4">
        <f>IFERROR(_xlfn.XLOOKUP(F382,'Hồ sơ phương tiện'!$B:$B,'Hồ sơ phương tiện'!$E:$E),"")</f>
        <v>0</v>
      </c>
      <c r="J382" s="4" t="str">
        <f>IFERROR(_xlfn.XLOOKUP(F382,'Hồ sơ phương tiện'!$B:$B,'Hồ sơ phương tiện'!$N:$N),"")</f>
        <v>THIẾU</v>
      </c>
      <c r="K382" s="4" t="str">
        <f>IFERROR(_xlfn.XLOOKUP(F382,'Hồ sơ phương tiện'!$B:$B,'Hồ sơ phương tiện'!$X:$X),"")</f>
        <v>KHÔNG PHÙ HỢP</v>
      </c>
      <c r="L382" s="4" t="str">
        <f t="shared" si="13"/>
        <v>KHÔNG CHO PHÉP</v>
      </c>
    </row>
    <row r="383" spans="1:12" x14ac:dyDescent="0.3">
      <c r="A383" s="4">
        <f t="shared" si="12"/>
        <v>382</v>
      </c>
      <c r="G383" s="4">
        <f>IFERROR(_xlfn.XLOOKUP(F383,'Hồ sơ phương tiện'!$B:$B,'Hồ sơ phương tiện'!$E:$E),"")</f>
        <v>0</v>
      </c>
      <c r="J383" s="4" t="str">
        <f>IFERROR(_xlfn.XLOOKUP(F383,'Hồ sơ phương tiện'!$B:$B,'Hồ sơ phương tiện'!$N:$N),"")</f>
        <v>THIẾU</v>
      </c>
      <c r="K383" s="4" t="str">
        <f>IFERROR(_xlfn.XLOOKUP(F383,'Hồ sơ phương tiện'!$B:$B,'Hồ sơ phương tiện'!$X:$X),"")</f>
        <v>KHÔNG PHÙ HỢP</v>
      </c>
      <c r="L383" s="4" t="str">
        <f t="shared" si="13"/>
        <v>KHÔNG CHO PHÉP</v>
      </c>
    </row>
    <row r="384" spans="1:12" x14ac:dyDescent="0.3">
      <c r="A384" s="4">
        <f t="shared" si="12"/>
        <v>383</v>
      </c>
      <c r="G384" s="4">
        <f>IFERROR(_xlfn.XLOOKUP(F384,'Hồ sơ phương tiện'!$B:$B,'Hồ sơ phương tiện'!$E:$E),"")</f>
        <v>0</v>
      </c>
      <c r="J384" s="4" t="str">
        <f>IFERROR(_xlfn.XLOOKUP(F384,'Hồ sơ phương tiện'!$B:$B,'Hồ sơ phương tiện'!$N:$N),"")</f>
        <v>THIẾU</v>
      </c>
      <c r="K384" s="4" t="str">
        <f>IFERROR(_xlfn.XLOOKUP(F384,'Hồ sơ phương tiện'!$B:$B,'Hồ sơ phương tiện'!$X:$X),"")</f>
        <v>KHÔNG PHÙ HỢP</v>
      </c>
      <c r="L384" s="4" t="str">
        <f t="shared" si="13"/>
        <v>KHÔNG CHO PHÉP</v>
      </c>
    </row>
    <row r="385" spans="1:12" x14ac:dyDescent="0.3">
      <c r="A385" s="4">
        <f t="shared" si="12"/>
        <v>384</v>
      </c>
      <c r="G385" s="4">
        <f>IFERROR(_xlfn.XLOOKUP(F385,'Hồ sơ phương tiện'!$B:$B,'Hồ sơ phương tiện'!$E:$E),"")</f>
        <v>0</v>
      </c>
      <c r="J385" s="4" t="str">
        <f>IFERROR(_xlfn.XLOOKUP(F385,'Hồ sơ phương tiện'!$B:$B,'Hồ sơ phương tiện'!$N:$N),"")</f>
        <v>THIẾU</v>
      </c>
      <c r="K385" s="4" t="str">
        <f>IFERROR(_xlfn.XLOOKUP(F385,'Hồ sơ phương tiện'!$B:$B,'Hồ sơ phương tiện'!$X:$X),"")</f>
        <v>KHÔNG PHÙ HỢP</v>
      </c>
      <c r="L385" s="4" t="str">
        <f t="shared" si="13"/>
        <v>KHÔNG CHO PHÉP</v>
      </c>
    </row>
    <row r="386" spans="1:12" x14ac:dyDescent="0.3">
      <c r="A386" s="4">
        <f t="shared" ref="A386:A449" si="14">ROW()-1</f>
        <v>385</v>
      </c>
      <c r="G386" s="4">
        <f>IFERROR(_xlfn.XLOOKUP(F386,'Hồ sơ phương tiện'!$B:$B,'Hồ sơ phương tiện'!$E:$E),"")</f>
        <v>0</v>
      </c>
      <c r="J386" s="4" t="str">
        <f>IFERROR(_xlfn.XLOOKUP(F386,'Hồ sơ phương tiện'!$B:$B,'Hồ sơ phương tiện'!$N:$N),"")</f>
        <v>THIẾU</v>
      </c>
      <c r="K386" s="4" t="str">
        <f>IFERROR(_xlfn.XLOOKUP(F386,'Hồ sơ phương tiện'!$B:$B,'Hồ sơ phương tiện'!$X:$X),"")</f>
        <v>KHÔNG PHÙ HỢP</v>
      </c>
      <c r="L386" s="4" t="str">
        <f t="shared" si="13"/>
        <v>KHÔNG CHO PHÉP</v>
      </c>
    </row>
    <row r="387" spans="1:12" x14ac:dyDescent="0.3">
      <c r="A387" s="4">
        <f t="shared" si="14"/>
        <v>386</v>
      </c>
      <c r="G387" s="4">
        <f>IFERROR(_xlfn.XLOOKUP(F387,'Hồ sơ phương tiện'!$B:$B,'Hồ sơ phương tiện'!$E:$E),"")</f>
        <v>0</v>
      </c>
      <c r="J387" s="4" t="str">
        <f>IFERROR(_xlfn.XLOOKUP(F387,'Hồ sơ phương tiện'!$B:$B,'Hồ sơ phương tiện'!$N:$N),"")</f>
        <v>THIẾU</v>
      </c>
      <c r="K387" s="4" t="str">
        <f>IFERROR(_xlfn.XLOOKUP(F387,'Hồ sơ phương tiện'!$B:$B,'Hồ sơ phương tiện'!$X:$X),"")</f>
        <v>KHÔNG PHÙ HỢP</v>
      </c>
      <c r="L387" s="4" t="str">
        <f t="shared" si="13"/>
        <v>KHÔNG CHO PHÉP</v>
      </c>
    </row>
    <row r="388" spans="1:12" x14ac:dyDescent="0.3">
      <c r="A388" s="4">
        <f t="shared" si="14"/>
        <v>387</v>
      </c>
      <c r="G388" s="4">
        <f>IFERROR(_xlfn.XLOOKUP(F388,'Hồ sơ phương tiện'!$B:$B,'Hồ sơ phương tiện'!$E:$E),"")</f>
        <v>0</v>
      </c>
      <c r="J388" s="4" t="str">
        <f>IFERROR(_xlfn.XLOOKUP(F388,'Hồ sơ phương tiện'!$B:$B,'Hồ sơ phương tiện'!$N:$N),"")</f>
        <v>THIẾU</v>
      </c>
      <c r="K388" s="4" t="str">
        <f>IFERROR(_xlfn.XLOOKUP(F388,'Hồ sơ phương tiện'!$B:$B,'Hồ sơ phương tiện'!$X:$X),"")</f>
        <v>KHÔNG PHÙ HỢP</v>
      </c>
      <c r="L388" s="4" t="str">
        <f t="shared" si="13"/>
        <v>KHÔNG CHO PHÉP</v>
      </c>
    </row>
    <row r="389" spans="1:12" x14ac:dyDescent="0.3">
      <c r="A389" s="4">
        <f t="shared" si="14"/>
        <v>388</v>
      </c>
      <c r="G389" s="4">
        <f>IFERROR(_xlfn.XLOOKUP(F389,'Hồ sơ phương tiện'!$B:$B,'Hồ sơ phương tiện'!$E:$E),"")</f>
        <v>0</v>
      </c>
      <c r="J389" s="4" t="str">
        <f>IFERROR(_xlfn.XLOOKUP(F389,'Hồ sơ phương tiện'!$B:$B,'Hồ sơ phương tiện'!$N:$N),"")</f>
        <v>THIẾU</v>
      </c>
      <c r="K389" s="4" t="str">
        <f>IFERROR(_xlfn.XLOOKUP(F389,'Hồ sơ phương tiện'!$B:$B,'Hồ sơ phương tiện'!$X:$X),"")</f>
        <v>KHÔNG PHÙ HỢP</v>
      </c>
      <c r="L389" s="4" t="str">
        <f t="shared" ref="L389:L452" si="15">IF(AND(J389="Đủ",K389="PHÙ HỢP"),"CHO PHÉP","KHÔNG CHO PHÉP")</f>
        <v>KHÔNG CHO PHÉP</v>
      </c>
    </row>
    <row r="390" spans="1:12" x14ac:dyDescent="0.3">
      <c r="A390" s="4">
        <f t="shared" si="14"/>
        <v>389</v>
      </c>
      <c r="G390" s="4">
        <f>IFERROR(_xlfn.XLOOKUP(F390,'Hồ sơ phương tiện'!$B:$B,'Hồ sơ phương tiện'!$E:$E),"")</f>
        <v>0</v>
      </c>
      <c r="J390" s="4" t="str">
        <f>IFERROR(_xlfn.XLOOKUP(F390,'Hồ sơ phương tiện'!$B:$B,'Hồ sơ phương tiện'!$N:$N),"")</f>
        <v>THIẾU</v>
      </c>
      <c r="K390" s="4" t="str">
        <f>IFERROR(_xlfn.XLOOKUP(F390,'Hồ sơ phương tiện'!$B:$B,'Hồ sơ phương tiện'!$X:$X),"")</f>
        <v>KHÔNG PHÙ HỢP</v>
      </c>
      <c r="L390" s="4" t="str">
        <f t="shared" si="15"/>
        <v>KHÔNG CHO PHÉP</v>
      </c>
    </row>
    <row r="391" spans="1:12" x14ac:dyDescent="0.3">
      <c r="A391" s="4">
        <f t="shared" si="14"/>
        <v>390</v>
      </c>
      <c r="G391" s="4">
        <f>IFERROR(_xlfn.XLOOKUP(F391,'Hồ sơ phương tiện'!$B:$B,'Hồ sơ phương tiện'!$E:$E),"")</f>
        <v>0</v>
      </c>
      <c r="J391" s="4" t="str">
        <f>IFERROR(_xlfn.XLOOKUP(F391,'Hồ sơ phương tiện'!$B:$B,'Hồ sơ phương tiện'!$N:$N),"")</f>
        <v>THIẾU</v>
      </c>
      <c r="K391" s="4" t="str">
        <f>IFERROR(_xlfn.XLOOKUP(F391,'Hồ sơ phương tiện'!$B:$B,'Hồ sơ phương tiện'!$X:$X),"")</f>
        <v>KHÔNG PHÙ HỢP</v>
      </c>
      <c r="L391" s="4" t="str">
        <f t="shared" si="15"/>
        <v>KHÔNG CHO PHÉP</v>
      </c>
    </row>
    <row r="392" spans="1:12" x14ac:dyDescent="0.3">
      <c r="A392" s="4">
        <f t="shared" si="14"/>
        <v>391</v>
      </c>
      <c r="G392" s="4">
        <f>IFERROR(_xlfn.XLOOKUP(F392,'Hồ sơ phương tiện'!$B:$B,'Hồ sơ phương tiện'!$E:$E),"")</f>
        <v>0</v>
      </c>
      <c r="J392" s="4" t="str">
        <f>IFERROR(_xlfn.XLOOKUP(F392,'Hồ sơ phương tiện'!$B:$B,'Hồ sơ phương tiện'!$N:$N),"")</f>
        <v>THIẾU</v>
      </c>
      <c r="K392" s="4" t="str">
        <f>IFERROR(_xlfn.XLOOKUP(F392,'Hồ sơ phương tiện'!$B:$B,'Hồ sơ phương tiện'!$X:$X),"")</f>
        <v>KHÔNG PHÙ HỢP</v>
      </c>
      <c r="L392" s="4" t="str">
        <f t="shared" si="15"/>
        <v>KHÔNG CHO PHÉP</v>
      </c>
    </row>
    <row r="393" spans="1:12" x14ac:dyDescent="0.3">
      <c r="A393" s="4">
        <f t="shared" si="14"/>
        <v>392</v>
      </c>
      <c r="G393" s="4">
        <f>IFERROR(_xlfn.XLOOKUP(F393,'Hồ sơ phương tiện'!$B:$B,'Hồ sơ phương tiện'!$E:$E),"")</f>
        <v>0</v>
      </c>
      <c r="J393" s="4" t="str">
        <f>IFERROR(_xlfn.XLOOKUP(F393,'Hồ sơ phương tiện'!$B:$B,'Hồ sơ phương tiện'!$N:$N),"")</f>
        <v>THIẾU</v>
      </c>
      <c r="K393" s="4" t="str">
        <f>IFERROR(_xlfn.XLOOKUP(F393,'Hồ sơ phương tiện'!$B:$B,'Hồ sơ phương tiện'!$X:$X),"")</f>
        <v>KHÔNG PHÙ HỢP</v>
      </c>
      <c r="L393" s="4" t="str">
        <f t="shared" si="15"/>
        <v>KHÔNG CHO PHÉP</v>
      </c>
    </row>
    <row r="394" spans="1:12" x14ac:dyDescent="0.3">
      <c r="A394" s="4">
        <f t="shared" si="14"/>
        <v>393</v>
      </c>
      <c r="G394" s="4">
        <f>IFERROR(_xlfn.XLOOKUP(F394,'Hồ sơ phương tiện'!$B:$B,'Hồ sơ phương tiện'!$E:$E),"")</f>
        <v>0</v>
      </c>
      <c r="J394" s="4" t="str">
        <f>IFERROR(_xlfn.XLOOKUP(F394,'Hồ sơ phương tiện'!$B:$B,'Hồ sơ phương tiện'!$N:$N),"")</f>
        <v>THIẾU</v>
      </c>
      <c r="K394" s="4" t="str">
        <f>IFERROR(_xlfn.XLOOKUP(F394,'Hồ sơ phương tiện'!$B:$B,'Hồ sơ phương tiện'!$X:$X),"")</f>
        <v>KHÔNG PHÙ HỢP</v>
      </c>
      <c r="L394" s="4" t="str">
        <f t="shared" si="15"/>
        <v>KHÔNG CHO PHÉP</v>
      </c>
    </row>
    <row r="395" spans="1:12" x14ac:dyDescent="0.3">
      <c r="A395" s="4">
        <f t="shared" si="14"/>
        <v>394</v>
      </c>
      <c r="G395" s="4">
        <f>IFERROR(_xlfn.XLOOKUP(F395,'Hồ sơ phương tiện'!$B:$B,'Hồ sơ phương tiện'!$E:$E),"")</f>
        <v>0</v>
      </c>
      <c r="J395" s="4" t="str">
        <f>IFERROR(_xlfn.XLOOKUP(F395,'Hồ sơ phương tiện'!$B:$B,'Hồ sơ phương tiện'!$N:$N),"")</f>
        <v>THIẾU</v>
      </c>
      <c r="K395" s="4" t="str">
        <f>IFERROR(_xlfn.XLOOKUP(F395,'Hồ sơ phương tiện'!$B:$B,'Hồ sơ phương tiện'!$X:$X),"")</f>
        <v>KHÔNG PHÙ HỢP</v>
      </c>
      <c r="L395" s="4" t="str">
        <f t="shared" si="15"/>
        <v>KHÔNG CHO PHÉP</v>
      </c>
    </row>
    <row r="396" spans="1:12" x14ac:dyDescent="0.3">
      <c r="A396" s="4">
        <f t="shared" si="14"/>
        <v>395</v>
      </c>
      <c r="G396" s="4">
        <f>IFERROR(_xlfn.XLOOKUP(F396,'Hồ sơ phương tiện'!$B:$B,'Hồ sơ phương tiện'!$E:$E),"")</f>
        <v>0</v>
      </c>
      <c r="J396" s="4" t="str">
        <f>IFERROR(_xlfn.XLOOKUP(F396,'Hồ sơ phương tiện'!$B:$B,'Hồ sơ phương tiện'!$N:$N),"")</f>
        <v>THIẾU</v>
      </c>
      <c r="K396" s="4" t="str">
        <f>IFERROR(_xlfn.XLOOKUP(F396,'Hồ sơ phương tiện'!$B:$B,'Hồ sơ phương tiện'!$X:$X),"")</f>
        <v>KHÔNG PHÙ HỢP</v>
      </c>
      <c r="L396" s="4" t="str">
        <f t="shared" si="15"/>
        <v>KHÔNG CHO PHÉP</v>
      </c>
    </row>
    <row r="397" spans="1:12" x14ac:dyDescent="0.3">
      <c r="A397" s="4">
        <f t="shared" si="14"/>
        <v>396</v>
      </c>
      <c r="G397" s="4">
        <f>IFERROR(_xlfn.XLOOKUP(F397,'Hồ sơ phương tiện'!$B:$B,'Hồ sơ phương tiện'!$E:$E),"")</f>
        <v>0</v>
      </c>
      <c r="J397" s="4" t="str">
        <f>IFERROR(_xlfn.XLOOKUP(F397,'Hồ sơ phương tiện'!$B:$B,'Hồ sơ phương tiện'!$N:$N),"")</f>
        <v>THIẾU</v>
      </c>
      <c r="K397" s="4" t="str">
        <f>IFERROR(_xlfn.XLOOKUP(F397,'Hồ sơ phương tiện'!$B:$B,'Hồ sơ phương tiện'!$X:$X),"")</f>
        <v>KHÔNG PHÙ HỢP</v>
      </c>
      <c r="L397" s="4" t="str">
        <f t="shared" si="15"/>
        <v>KHÔNG CHO PHÉP</v>
      </c>
    </row>
    <row r="398" spans="1:12" x14ac:dyDescent="0.3">
      <c r="A398" s="4">
        <f t="shared" si="14"/>
        <v>397</v>
      </c>
      <c r="G398" s="4">
        <f>IFERROR(_xlfn.XLOOKUP(F398,'Hồ sơ phương tiện'!$B:$B,'Hồ sơ phương tiện'!$E:$E),"")</f>
        <v>0</v>
      </c>
      <c r="J398" s="4" t="str">
        <f>IFERROR(_xlfn.XLOOKUP(F398,'Hồ sơ phương tiện'!$B:$B,'Hồ sơ phương tiện'!$N:$N),"")</f>
        <v>THIẾU</v>
      </c>
      <c r="K398" s="4" t="str">
        <f>IFERROR(_xlfn.XLOOKUP(F398,'Hồ sơ phương tiện'!$B:$B,'Hồ sơ phương tiện'!$X:$X),"")</f>
        <v>KHÔNG PHÙ HỢP</v>
      </c>
      <c r="L398" s="4" t="str">
        <f t="shared" si="15"/>
        <v>KHÔNG CHO PHÉP</v>
      </c>
    </row>
    <row r="399" spans="1:12" x14ac:dyDescent="0.3">
      <c r="A399" s="4">
        <f t="shared" si="14"/>
        <v>398</v>
      </c>
      <c r="G399" s="4">
        <f>IFERROR(_xlfn.XLOOKUP(F399,'Hồ sơ phương tiện'!$B:$B,'Hồ sơ phương tiện'!$E:$E),"")</f>
        <v>0</v>
      </c>
      <c r="J399" s="4" t="str">
        <f>IFERROR(_xlfn.XLOOKUP(F399,'Hồ sơ phương tiện'!$B:$B,'Hồ sơ phương tiện'!$N:$N),"")</f>
        <v>THIẾU</v>
      </c>
      <c r="K399" s="4" t="str">
        <f>IFERROR(_xlfn.XLOOKUP(F399,'Hồ sơ phương tiện'!$B:$B,'Hồ sơ phương tiện'!$X:$X),"")</f>
        <v>KHÔNG PHÙ HỢP</v>
      </c>
      <c r="L399" s="4" t="str">
        <f t="shared" si="15"/>
        <v>KHÔNG CHO PHÉP</v>
      </c>
    </row>
    <row r="400" spans="1:12" x14ac:dyDescent="0.3">
      <c r="A400" s="4">
        <f t="shared" si="14"/>
        <v>399</v>
      </c>
      <c r="G400" s="4">
        <f>IFERROR(_xlfn.XLOOKUP(F400,'Hồ sơ phương tiện'!$B:$B,'Hồ sơ phương tiện'!$E:$E),"")</f>
        <v>0</v>
      </c>
      <c r="J400" s="4" t="str">
        <f>IFERROR(_xlfn.XLOOKUP(F400,'Hồ sơ phương tiện'!$B:$B,'Hồ sơ phương tiện'!$N:$N),"")</f>
        <v>THIẾU</v>
      </c>
      <c r="K400" s="4" t="str">
        <f>IFERROR(_xlfn.XLOOKUP(F400,'Hồ sơ phương tiện'!$B:$B,'Hồ sơ phương tiện'!$X:$X),"")</f>
        <v>KHÔNG PHÙ HỢP</v>
      </c>
      <c r="L400" s="4" t="str">
        <f t="shared" si="15"/>
        <v>KHÔNG CHO PHÉP</v>
      </c>
    </row>
    <row r="401" spans="1:12" x14ac:dyDescent="0.3">
      <c r="A401" s="4">
        <f t="shared" si="14"/>
        <v>400</v>
      </c>
      <c r="G401" s="4">
        <f>IFERROR(_xlfn.XLOOKUP(F401,'Hồ sơ phương tiện'!$B:$B,'Hồ sơ phương tiện'!$E:$E),"")</f>
        <v>0</v>
      </c>
      <c r="J401" s="4" t="str">
        <f>IFERROR(_xlfn.XLOOKUP(F401,'Hồ sơ phương tiện'!$B:$B,'Hồ sơ phương tiện'!$N:$N),"")</f>
        <v>THIẾU</v>
      </c>
      <c r="K401" s="4" t="str">
        <f>IFERROR(_xlfn.XLOOKUP(F401,'Hồ sơ phương tiện'!$B:$B,'Hồ sơ phương tiện'!$X:$X),"")</f>
        <v>KHÔNG PHÙ HỢP</v>
      </c>
      <c r="L401" s="4" t="str">
        <f t="shared" si="15"/>
        <v>KHÔNG CHO PHÉP</v>
      </c>
    </row>
    <row r="402" spans="1:12" x14ac:dyDescent="0.3">
      <c r="A402" s="4">
        <f t="shared" si="14"/>
        <v>401</v>
      </c>
      <c r="G402" s="4">
        <f>IFERROR(_xlfn.XLOOKUP(F402,'Hồ sơ phương tiện'!$B:$B,'Hồ sơ phương tiện'!$E:$E),"")</f>
        <v>0</v>
      </c>
      <c r="J402" s="4" t="str">
        <f>IFERROR(_xlfn.XLOOKUP(F402,'Hồ sơ phương tiện'!$B:$B,'Hồ sơ phương tiện'!$N:$N),"")</f>
        <v>THIẾU</v>
      </c>
      <c r="K402" s="4" t="str">
        <f>IFERROR(_xlfn.XLOOKUP(F402,'Hồ sơ phương tiện'!$B:$B,'Hồ sơ phương tiện'!$X:$X),"")</f>
        <v>KHÔNG PHÙ HỢP</v>
      </c>
      <c r="L402" s="4" t="str">
        <f t="shared" si="15"/>
        <v>KHÔNG CHO PHÉP</v>
      </c>
    </row>
    <row r="403" spans="1:12" x14ac:dyDescent="0.3">
      <c r="A403" s="4">
        <f t="shared" si="14"/>
        <v>402</v>
      </c>
      <c r="G403" s="4">
        <f>IFERROR(_xlfn.XLOOKUP(F403,'Hồ sơ phương tiện'!$B:$B,'Hồ sơ phương tiện'!$E:$E),"")</f>
        <v>0</v>
      </c>
      <c r="J403" s="4" t="str">
        <f>IFERROR(_xlfn.XLOOKUP(F403,'Hồ sơ phương tiện'!$B:$B,'Hồ sơ phương tiện'!$N:$N),"")</f>
        <v>THIẾU</v>
      </c>
      <c r="K403" s="4" t="str">
        <f>IFERROR(_xlfn.XLOOKUP(F403,'Hồ sơ phương tiện'!$B:$B,'Hồ sơ phương tiện'!$X:$X),"")</f>
        <v>KHÔNG PHÙ HỢP</v>
      </c>
      <c r="L403" s="4" t="str">
        <f t="shared" si="15"/>
        <v>KHÔNG CHO PHÉP</v>
      </c>
    </row>
    <row r="404" spans="1:12" x14ac:dyDescent="0.3">
      <c r="A404" s="4">
        <f t="shared" si="14"/>
        <v>403</v>
      </c>
      <c r="G404" s="4">
        <f>IFERROR(_xlfn.XLOOKUP(F404,'Hồ sơ phương tiện'!$B:$B,'Hồ sơ phương tiện'!$E:$E),"")</f>
        <v>0</v>
      </c>
      <c r="J404" s="4" t="str">
        <f>IFERROR(_xlfn.XLOOKUP(F404,'Hồ sơ phương tiện'!$B:$B,'Hồ sơ phương tiện'!$N:$N),"")</f>
        <v>THIẾU</v>
      </c>
      <c r="K404" s="4" t="str">
        <f>IFERROR(_xlfn.XLOOKUP(F404,'Hồ sơ phương tiện'!$B:$B,'Hồ sơ phương tiện'!$X:$X),"")</f>
        <v>KHÔNG PHÙ HỢP</v>
      </c>
      <c r="L404" s="4" t="str">
        <f t="shared" si="15"/>
        <v>KHÔNG CHO PHÉP</v>
      </c>
    </row>
    <row r="405" spans="1:12" x14ac:dyDescent="0.3">
      <c r="A405" s="4">
        <f t="shared" si="14"/>
        <v>404</v>
      </c>
      <c r="G405" s="4">
        <f>IFERROR(_xlfn.XLOOKUP(F405,'Hồ sơ phương tiện'!$B:$B,'Hồ sơ phương tiện'!$E:$E),"")</f>
        <v>0</v>
      </c>
      <c r="J405" s="4" t="str">
        <f>IFERROR(_xlfn.XLOOKUP(F405,'Hồ sơ phương tiện'!$B:$B,'Hồ sơ phương tiện'!$N:$N),"")</f>
        <v>THIẾU</v>
      </c>
      <c r="K405" s="4" t="str">
        <f>IFERROR(_xlfn.XLOOKUP(F405,'Hồ sơ phương tiện'!$B:$B,'Hồ sơ phương tiện'!$X:$X),"")</f>
        <v>KHÔNG PHÙ HỢP</v>
      </c>
      <c r="L405" s="4" t="str">
        <f t="shared" si="15"/>
        <v>KHÔNG CHO PHÉP</v>
      </c>
    </row>
    <row r="406" spans="1:12" x14ac:dyDescent="0.3">
      <c r="A406" s="4">
        <f t="shared" si="14"/>
        <v>405</v>
      </c>
      <c r="G406" s="4">
        <f>IFERROR(_xlfn.XLOOKUP(F406,'Hồ sơ phương tiện'!$B:$B,'Hồ sơ phương tiện'!$E:$E),"")</f>
        <v>0</v>
      </c>
      <c r="J406" s="4" t="str">
        <f>IFERROR(_xlfn.XLOOKUP(F406,'Hồ sơ phương tiện'!$B:$B,'Hồ sơ phương tiện'!$N:$N),"")</f>
        <v>THIẾU</v>
      </c>
      <c r="K406" s="4" t="str">
        <f>IFERROR(_xlfn.XLOOKUP(F406,'Hồ sơ phương tiện'!$B:$B,'Hồ sơ phương tiện'!$X:$X),"")</f>
        <v>KHÔNG PHÙ HỢP</v>
      </c>
      <c r="L406" s="4" t="str">
        <f t="shared" si="15"/>
        <v>KHÔNG CHO PHÉP</v>
      </c>
    </row>
    <row r="407" spans="1:12" x14ac:dyDescent="0.3">
      <c r="A407" s="4">
        <f t="shared" si="14"/>
        <v>406</v>
      </c>
      <c r="G407" s="4">
        <f>IFERROR(_xlfn.XLOOKUP(F407,'Hồ sơ phương tiện'!$B:$B,'Hồ sơ phương tiện'!$E:$E),"")</f>
        <v>0</v>
      </c>
      <c r="J407" s="4" t="str">
        <f>IFERROR(_xlfn.XLOOKUP(F407,'Hồ sơ phương tiện'!$B:$B,'Hồ sơ phương tiện'!$N:$N),"")</f>
        <v>THIẾU</v>
      </c>
      <c r="K407" s="4" t="str">
        <f>IFERROR(_xlfn.XLOOKUP(F407,'Hồ sơ phương tiện'!$B:$B,'Hồ sơ phương tiện'!$X:$X),"")</f>
        <v>KHÔNG PHÙ HỢP</v>
      </c>
      <c r="L407" s="4" t="str">
        <f t="shared" si="15"/>
        <v>KHÔNG CHO PHÉP</v>
      </c>
    </row>
    <row r="408" spans="1:12" x14ac:dyDescent="0.3">
      <c r="A408" s="4">
        <f t="shared" si="14"/>
        <v>407</v>
      </c>
      <c r="G408" s="4">
        <f>IFERROR(_xlfn.XLOOKUP(F408,'Hồ sơ phương tiện'!$B:$B,'Hồ sơ phương tiện'!$E:$E),"")</f>
        <v>0</v>
      </c>
      <c r="J408" s="4" t="str">
        <f>IFERROR(_xlfn.XLOOKUP(F408,'Hồ sơ phương tiện'!$B:$B,'Hồ sơ phương tiện'!$N:$N),"")</f>
        <v>THIẾU</v>
      </c>
      <c r="K408" s="4" t="str">
        <f>IFERROR(_xlfn.XLOOKUP(F408,'Hồ sơ phương tiện'!$B:$B,'Hồ sơ phương tiện'!$X:$X),"")</f>
        <v>KHÔNG PHÙ HỢP</v>
      </c>
      <c r="L408" s="4" t="str">
        <f t="shared" si="15"/>
        <v>KHÔNG CHO PHÉP</v>
      </c>
    </row>
    <row r="409" spans="1:12" x14ac:dyDescent="0.3">
      <c r="A409" s="4">
        <f t="shared" si="14"/>
        <v>408</v>
      </c>
      <c r="G409" s="4">
        <f>IFERROR(_xlfn.XLOOKUP(F409,'Hồ sơ phương tiện'!$B:$B,'Hồ sơ phương tiện'!$E:$E),"")</f>
        <v>0</v>
      </c>
      <c r="J409" s="4" t="str">
        <f>IFERROR(_xlfn.XLOOKUP(F409,'Hồ sơ phương tiện'!$B:$B,'Hồ sơ phương tiện'!$N:$N),"")</f>
        <v>THIẾU</v>
      </c>
      <c r="K409" s="4" t="str">
        <f>IFERROR(_xlfn.XLOOKUP(F409,'Hồ sơ phương tiện'!$B:$B,'Hồ sơ phương tiện'!$X:$X),"")</f>
        <v>KHÔNG PHÙ HỢP</v>
      </c>
      <c r="L409" s="4" t="str">
        <f t="shared" si="15"/>
        <v>KHÔNG CHO PHÉP</v>
      </c>
    </row>
    <row r="410" spans="1:12" x14ac:dyDescent="0.3">
      <c r="A410" s="4">
        <f t="shared" si="14"/>
        <v>409</v>
      </c>
      <c r="G410" s="4">
        <f>IFERROR(_xlfn.XLOOKUP(F410,'Hồ sơ phương tiện'!$B:$B,'Hồ sơ phương tiện'!$E:$E),"")</f>
        <v>0</v>
      </c>
      <c r="J410" s="4" t="str">
        <f>IFERROR(_xlfn.XLOOKUP(F410,'Hồ sơ phương tiện'!$B:$B,'Hồ sơ phương tiện'!$N:$N),"")</f>
        <v>THIẾU</v>
      </c>
      <c r="K410" s="4" t="str">
        <f>IFERROR(_xlfn.XLOOKUP(F410,'Hồ sơ phương tiện'!$B:$B,'Hồ sơ phương tiện'!$X:$X),"")</f>
        <v>KHÔNG PHÙ HỢP</v>
      </c>
      <c r="L410" s="4" t="str">
        <f t="shared" si="15"/>
        <v>KHÔNG CHO PHÉP</v>
      </c>
    </row>
    <row r="411" spans="1:12" x14ac:dyDescent="0.3">
      <c r="A411" s="4">
        <f t="shared" si="14"/>
        <v>410</v>
      </c>
      <c r="G411" s="4">
        <f>IFERROR(_xlfn.XLOOKUP(F411,'Hồ sơ phương tiện'!$B:$B,'Hồ sơ phương tiện'!$E:$E),"")</f>
        <v>0</v>
      </c>
      <c r="J411" s="4" t="str">
        <f>IFERROR(_xlfn.XLOOKUP(F411,'Hồ sơ phương tiện'!$B:$B,'Hồ sơ phương tiện'!$N:$N),"")</f>
        <v>THIẾU</v>
      </c>
      <c r="K411" s="4" t="str">
        <f>IFERROR(_xlfn.XLOOKUP(F411,'Hồ sơ phương tiện'!$B:$B,'Hồ sơ phương tiện'!$X:$X),"")</f>
        <v>KHÔNG PHÙ HỢP</v>
      </c>
      <c r="L411" s="4" t="str">
        <f t="shared" si="15"/>
        <v>KHÔNG CHO PHÉP</v>
      </c>
    </row>
    <row r="412" spans="1:12" x14ac:dyDescent="0.3">
      <c r="A412" s="4">
        <f t="shared" si="14"/>
        <v>411</v>
      </c>
      <c r="G412" s="4">
        <f>IFERROR(_xlfn.XLOOKUP(F412,'Hồ sơ phương tiện'!$B:$B,'Hồ sơ phương tiện'!$E:$E),"")</f>
        <v>0</v>
      </c>
      <c r="J412" s="4" t="str">
        <f>IFERROR(_xlfn.XLOOKUP(F412,'Hồ sơ phương tiện'!$B:$B,'Hồ sơ phương tiện'!$N:$N),"")</f>
        <v>THIẾU</v>
      </c>
      <c r="K412" s="4" t="str">
        <f>IFERROR(_xlfn.XLOOKUP(F412,'Hồ sơ phương tiện'!$B:$B,'Hồ sơ phương tiện'!$X:$X),"")</f>
        <v>KHÔNG PHÙ HỢP</v>
      </c>
      <c r="L412" s="4" t="str">
        <f t="shared" si="15"/>
        <v>KHÔNG CHO PHÉP</v>
      </c>
    </row>
    <row r="413" spans="1:12" x14ac:dyDescent="0.3">
      <c r="A413" s="4">
        <f t="shared" si="14"/>
        <v>412</v>
      </c>
      <c r="G413" s="4">
        <f>IFERROR(_xlfn.XLOOKUP(F413,'Hồ sơ phương tiện'!$B:$B,'Hồ sơ phương tiện'!$E:$E),"")</f>
        <v>0</v>
      </c>
      <c r="J413" s="4" t="str">
        <f>IFERROR(_xlfn.XLOOKUP(F413,'Hồ sơ phương tiện'!$B:$B,'Hồ sơ phương tiện'!$N:$N),"")</f>
        <v>THIẾU</v>
      </c>
      <c r="K413" s="4" t="str">
        <f>IFERROR(_xlfn.XLOOKUP(F413,'Hồ sơ phương tiện'!$B:$B,'Hồ sơ phương tiện'!$X:$X),"")</f>
        <v>KHÔNG PHÙ HỢP</v>
      </c>
      <c r="L413" s="4" t="str">
        <f t="shared" si="15"/>
        <v>KHÔNG CHO PHÉP</v>
      </c>
    </row>
    <row r="414" spans="1:12" x14ac:dyDescent="0.3">
      <c r="A414" s="4">
        <f t="shared" si="14"/>
        <v>413</v>
      </c>
      <c r="G414" s="4">
        <f>IFERROR(_xlfn.XLOOKUP(F414,'Hồ sơ phương tiện'!$B:$B,'Hồ sơ phương tiện'!$E:$E),"")</f>
        <v>0</v>
      </c>
      <c r="J414" s="4" t="str">
        <f>IFERROR(_xlfn.XLOOKUP(F414,'Hồ sơ phương tiện'!$B:$B,'Hồ sơ phương tiện'!$N:$N),"")</f>
        <v>THIẾU</v>
      </c>
      <c r="K414" s="4" t="str">
        <f>IFERROR(_xlfn.XLOOKUP(F414,'Hồ sơ phương tiện'!$B:$B,'Hồ sơ phương tiện'!$X:$X),"")</f>
        <v>KHÔNG PHÙ HỢP</v>
      </c>
      <c r="L414" s="4" t="str">
        <f t="shared" si="15"/>
        <v>KHÔNG CHO PHÉP</v>
      </c>
    </row>
    <row r="415" spans="1:12" x14ac:dyDescent="0.3">
      <c r="A415" s="4">
        <f t="shared" si="14"/>
        <v>414</v>
      </c>
      <c r="G415" s="4">
        <f>IFERROR(_xlfn.XLOOKUP(F415,'Hồ sơ phương tiện'!$B:$B,'Hồ sơ phương tiện'!$E:$E),"")</f>
        <v>0</v>
      </c>
      <c r="J415" s="4" t="str">
        <f>IFERROR(_xlfn.XLOOKUP(F415,'Hồ sơ phương tiện'!$B:$B,'Hồ sơ phương tiện'!$N:$N),"")</f>
        <v>THIẾU</v>
      </c>
      <c r="K415" s="4" t="str">
        <f>IFERROR(_xlfn.XLOOKUP(F415,'Hồ sơ phương tiện'!$B:$B,'Hồ sơ phương tiện'!$X:$X),"")</f>
        <v>KHÔNG PHÙ HỢP</v>
      </c>
      <c r="L415" s="4" t="str">
        <f t="shared" si="15"/>
        <v>KHÔNG CHO PHÉP</v>
      </c>
    </row>
    <row r="416" spans="1:12" x14ac:dyDescent="0.3">
      <c r="A416" s="4">
        <f t="shared" si="14"/>
        <v>415</v>
      </c>
      <c r="G416" s="4">
        <f>IFERROR(_xlfn.XLOOKUP(F416,'Hồ sơ phương tiện'!$B:$B,'Hồ sơ phương tiện'!$E:$E),"")</f>
        <v>0</v>
      </c>
      <c r="J416" s="4" t="str">
        <f>IFERROR(_xlfn.XLOOKUP(F416,'Hồ sơ phương tiện'!$B:$B,'Hồ sơ phương tiện'!$N:$N),"")</f>
        <v>THIẾU</v>
      </c>
      <c r="K416" s="4" t="str">
        <f>IFERROR(_xlfn.XLOOKUP(F416,'Hồ sơ phương tiện'!$B:$B,'Hồ sơ phương tiện'!$X:$X),"")</f>
        <v>KHÔNG PHÙ HỢP</v>
      </c>
      <c r="L416" s="4" t="str">
        <f t="shared" si="15"/>
        <v>KHÔNG CHO PHÉP</v>
      </c>
    </row>
    <row r="417" spans="1:12" x14ac:dyDescent="0.3">
      <c r="A417" s="4">
        <f t="shared" si="14"/>
        <v>416</v>
      </c>
      <c r="G417" s="4">
        <f>IFERROR(_xlfn.XLOOKUP(F417,'Hồ sơ phương tiện'!$B:$B,'Hồ sơ phương tiện'!$E:$E),"")</f>
        <v>0</v>
      </c>
      <c r="J417" s="4" t="str">
        <f>IFERROR(_xlfn.XLOOKUP(F417,'Hồ sơ phương tiện'!$B:$B,'Hồ sơ phương tiện'!$N:$N),"")</f>
        <v>THIẾU</v>
      </c>
      <c r="K417" s="4" t="str">
        <f>IFERROR(_xlfn.XLOOKUP(F417,'Hồ sơ phương tiện'!$B:$B,'Hồ sơ phương tiện'!$X:$X),"")</f>
        <v>KHÔNG PHÙ HỢP</v>
      </c>
      <c r="L417" s="4" t="str">
        <f t="shared" si="15"/>
        <v>KHÔNG CHO PHÉP</v>
      </c>
    </row>
    <row r="418" spans="1:12" x14ac:dyDescent="0.3">
      <c r="A418" s="4">
        <f t="shared" si="14"/>
        <v>417</v>
      </c>
      <c r="G418" s="4">
        <f>IFERROR(_xlfn.XLOOKUP(F418,'Hồ sơ phương tiện'!$B:$B,'Hồ sơ phương tiện'!$E:$E),"")</f>
        <v>0</v>
      </c>
      <c r="J418" s="4" t="str">
        <f>IFERROR(_xlfn.XLOOKUP(F418,'Hồ sơ phương tiện'!$B:$B,'Hồ sơ phương tiện'!$N:$N),"")</f>
        <v>THIẾU</v>
      </c>
      <c r="K418" s="4" t="str">
        <f>IFERROR(_xlfn.XLOOKUP(F418,'Hồ sơ phương tiện'!$B:$B,'Hồ sơ phương tiện'!$X:$X),"")</f>
        <v>KHÔNG PHÙ HỢP</v>
      </c>
      <c r="L418" s="4" t="str">
        <f t="shared" si="15"/>
        <v>KHÔNG CHO PHÉP</v>
      </c>
    </row>
    <row r="419" spans="1:12" x14ac:dyDescent="0.3">
      <c r="A419" s="4">
        <f t="shared" si="14"/>
        <v>418</v>
      </c>
      <c r="G419" s="4">
        <f>IFERROR(_xlfn.XLOOKUP(F419,'Hồ sơ phương tiện'!$B:$B,'Hồ sơ phương tiện'!$E:$E),"")</f>
        <v>0</v>
      </c>
      <c r="J419" s="4" t="str">
        <f>IFERROR(_xlfn.XLOOKUP(F419,'Hồ sơ phương tiện'!$B:$B,'Hồ sơ phương tiện'!$N:$N),"")</f>
        <v>THIẾU</v>
      </c>
      <c r="K419" s="4" t="str">
        <f>IFERROR(_xlfn.XLOOKUP(F419,'Hồ sơ phương tiện'!$B:$B,'Hồ sơ phương tiện'!$X:$X),"")</f>
        <v>KHÔNG PHÙ HỢP</v>
      </c>
      <c r="L419" s="4" t="str">
        <f t="shared" si="15"/>
        <v>KHÔNG CHO PHÉP</v>
      </c>
    </row>
    <row r="420" spans="1:12" x14ac:dyDescent="0.3">
      <c r="A420" s="4">
        <f t="shared" si="14"/>
        <v>419</v>
      </c>
      <c r="G420" s="4">
        <f>IFERROR(_xlfn.XLOOKUP(F420,'Hồ sơ phương tiện'!$B:$B,'Hồ sơ phương tiện'!$E:$E),"")</f>
        <v>0</v>
      </c>
      <c r="J420" s="4" t="str">
        <f>IFERROR(_xlfn.XLOOKUP(F420,'Hồ sơ phương tiện'!$B:$B,'Hồ sơ phương tiện'!$N:$N),"")</f>
        <v>THIẾU</v>
      </c>
      <c r="K420" s="4" t="str">
        <f>IFERROR(_xlfn.XLOOKUP(F420,'Hồ sơ phương tiện'!$B:$B,'Hồ sơ phương tiện'!$X:$X),"")</f>
        <v>KHÔNG PHÙ HỢP</v>
      </c>
      <c r="L420" s="4" t="str">
        <f t="shared" si="15"/>
        <v>KHÔNG CHO PHÉP</v>
      </c>
    </row>
    <row r="421" spans="1:12" x14ac:dyDescent="0.3">
      <c r="A421" s="4">
        <f t="shared" si="14"/>
        <v>420</v>
      </c>
      <c r="G421" s="4">
        <f>IFERROR(_xlfn.XLOOKUP(F421,'Hồ sơ phương tiện'!$B:$B,'Hồ sơ phương tiện'!$E:$E),"")</f>
        <v>0</v>
      </c>
      <c r="J421" s="4" t="str">
        <f>IFERROR(_xlfn.XLOOKUP(F421,'Hồ sơ phương tiện'!$B:$B,'Hồ sơ phương tiện'!$N:$N),"")</f>
        <v>THIẾU</v>
      </c>
      <c r="K421" s="4" t="str">
        <f>IFERROR(_xlfn.XLOOKUP(F421,'Hồ sơ phương tiện'!$B:$B,'Hồ sơ phương tiện'!$X:$X),"")</f>
        <v>KHÔNG PHÙ HỢP</v>
      </c>
      <c r="L421" s="4" t="str">
        <f t="shared" si="15"/>
        <v>KHÔNG CHO PHÉP</v>
      </c>
    </row>
    <row r="422" spans="1:12" x14ac:dyDescent="0.3">
      <c r="A422" s="4">
        <f t="shared" si="14"/>
        <v>421</v>
      </c>
      <c r="G422" s="4">
        <f>IFERROR(_xlfn.XLOOKUP(F422,'Hồ sơ phương tiện'!$B:$B,'Hồ sơ phương tiện'!$E:$E),"")</f>
        <v>0</v>
      </c>
      <c r="J422" s="4" t="str">
        <f>IFERROR(_xlfn.XLOOKUP(F422,'Hồ sơ phương tiện'!$B:$B,'Hồ sơ phương tiện'!$N:$N),"")</f>
        <v>THIẾU</v>
      </c>
      <c r="K422" s="4" t="str">
        <f>IFERROR(_xlfn.XLOOKUP(F422,'Hồ sơ phương tiện'!$B:$B,'Hồ sơ phương tiện'!$X:$X),"")</f>
        <v>KHÔNG PHÙ HỢP</v>
      </c>
      <c r="L422" s="4" t="str">
        <f t="shared" si="15"/>
        <v>KHÔNG CHO PHÉP</v>
      </c>
    </row>
    <row r="423" spans="1:12" x14ac:dyDescent="0.3">
      <c r="A423" s="4">
        <f t="shared" si="14"/>
        <v>422</v>
      </c>
      <c r="G423" s="4">
        <f>IFERROR(_xlfn.XLOOKUP(F423,'Hồ sơ phương tiện'!$B:$B,'Hồ sơ phương tiện'!$E:$E),"")</f>
        <v>0</v>
      </c>
      <c r="J423" s="4" t="str">
        <f>IFERROR(_xlfn.XLOOKUP(F423,'Hồ sơ phương tiện'!$B:$B,'Hồ sơ phương tiện'!$N:$N),"")</f>
        <v>THIẾU</v>
      </c>
      <c r="K423" s="4" t="str">
        <f>IFERROR(_xlfn.XLOOKUP(F423,'Hồ sơ phương tiện'!$B:$B,'Hồ sơ phương tiện'!$X:$X),"")</f>
        <v>KHÔNG PHÙ HỢP</v>
      </c>
      <c r="L423" s="4" t="str">
        <f t="shared" si="15"/>
        <v>KHÔNG CHO PHÉP</v>
      </c>
    </row>
    <row r="424" spans="1:12" x14ac:dyDescent="0.3">
      <c r="A424" s="4">
        <f t="shared" si="14"/>
        <v>423</v>
      </c>
      <c r="G424" s="4">
        <f>IFERROR(_xlfn.XLOOKUP(F424,'Hồ sơ phương tiện'!$B:$B,'Hồ sơ phương tiện'!$E:$E),"")</f>
        <v>0</v>
      </c>
      <c r="J424" s="4" t="str">
        <f>IFERROR(_xlfn.XLOOKUP(F424,'Hồ sơ phương tiện'!$B:$B,'Hồ sơ phương tiện'!$N:$N),"")</f>
        <v>THIẾU</v>
      </c>
      <c r="K424" s="4" t="str">
        <f>IFERROR(_xlfn.XLOOKUP(F424,'Hồ sơ phương tiện'!$B:$B,'Hồ sơ phương tiện'!$X:$X),"")</f>
        <v>KHÔNG PHÙ HỢP</v>
      </c>
      <c r="L424" s="4" t="str">
        <f t="shared" si="15"/>
        <v>KHÔNG CHO PHÉP</v>
      </c>
    </row>
    <row r="425" spans="1:12" x14ac:dyDescent="0.3">
      <c r="A425" s="4">
        <f t="shared" si="14"/>
        <v>424</v>
      </c>
      <c r="G425" s="4">
        <f>IFERROR(_xlfn.XLOOKUP(F425,'Hồ sơ phương tiện'!$B:$B,'Hồ sơ phương tiện'!$E:$E),"")</f>
        <v>0</v>
      </c>
      <c r="J425" s="4" t="str">
        <f>IFERROR(_xlfn.XLOOKUP(F425,'Hồ sơ phương tiện'!$B:$B,'Hồ sơ phương tiện'!$N:$N),"")</f>
        <v>THIẾU</v>
      </c>
      <c r="K425" s="4" t="str">
        <f>IFERROR(_xlfn.XLOOKUP(F425,'Hồ sơ phương tiện'!$B:$B,'Hồ sơ phương tiện'!$X:$X),"")</f>
        <v>KHÔNG PHÙ HỢP</v>
      </c>
      <c r="L425" s="4" t="str">
        <f t="shared" si="15"/>
        <v>KHÔNG CHO PHÉP</v>
      </c>
    </row>
    <row r="426" spans="1:12" x14ac:dyDescent="0.3">
      <c r="A426" s="4">
        <f t="shared" si="14"/>
        <v>425</v>
      </c>
      <c r="G426" s="4">
        <f>IFERROR(_xlfn.XLOOKUP(F426,'Hồ sơ phương tiện'!$B:$B,'Hồ sơ phương tiện'!$E:$E),"")</f>
        <v>0</v>
      </c>
      <c r="J426" s="4" t="str">
        <f>IFERROR(_xlfn.XLOOKUP(F426,'Hồ sơ phương tiện'!$B:$B,'Hồ sơ phương tiện'!$N:$N),"")</f>
        <v>THIẾU</v>
      </c>
      <c r="K426" s="4" t="str">
        <f>IFERROR(_xlfn.XLOOKUP(F426,'Hồ sơ phương tiện'!$B:$B,'Hồ sơ phương tiện'!$X:$X),"")</f>
        <v>KHÔNG PHÙ HỢP</v>
      </c>
      <c r="L426" s="4" t="str">
        <f t="shared" si="15"/>
        <v>KHÔNG CHO PHÉP</v>
      </c>
    </row>
    <row r="427" spans="1:12" x14ac:dyDescent="0.3">
      <c r="A427" s="4">
        <f t="shared" si="14"/>
        <v>426</v>
      </c>
      <c r="G427" s="4">
        <f>IFERROR(_xlfn.XLOOKUP(F427,'Hồ sơ phương tiện'!$B:$B,'Hồ sơ phương tiện'!$E:$E),"")</f>
        <v>0</v>
      </c>
      <c r="J427" s="4" t="str">
        <f>IFERROR(_xlfn.XLOOKUP(F427,'Hồ sơ phương tiện'!$B:$B,'Hồ sơ phương tiện'!$N:$N),"")</f>
        <v>THIẾU</v>
      </c>
      <c r="K427" s="4" t="str">
        <f>IFERROR(_xlfn.XLOOKUP(F427,'Hồ sơ phương tiện'!$B:$B,'Hồ sơ phương tiện'!$X:$X),"")</f>
        <v>KHÔNG PHÙ HỢP</v>
      </c>
      <c r="L427" s="4" t="str">
        <f t="shared" si="15"/>
        <v>KHÔNG CHO PHÉP</v>
      </c>
    </row>
    <row r="428" spans="1:12" x14ac:dyDescent="0.3">
      <c r="A428" s="4">
        <f t="shared" si="14"/>
        <v>427</v>
      </c>
      <c r="G428" s="4">
        <f>IFERROR(_xlfn.XLOOKUP(F428,'Hồ sơ phương tiện'!$B:$B,'Hồ sơ phương tiện'!$E:$E),"")</f>
        <v>0</v>
      </c>
      <c r="J428" s="4" t="str">
        <f>IFERROR(_xlfn.XLOOKUP(F428,'Hồ sơ phương tiện'!$B:$B,'Hồ sơ phương tiện'!$N:$N),"")</f>
        <v>THIẾU</v>
      </c>
      <c r="K428" s="4" t="str">
        <f>IFERROR(_xlfn.XLOOKUP(F428,'Hồ sơ phương tiện'!$B:$B,'Hồ sơ phương tiện'!$X:$X),"")</f>
        <v>KHÔNG PHÙ HỢP</v>
      </c>
      <c r="L428" s="4" t="str">
        <f t="shared" si="15"/>
        <v>KHÔNG CHO PHÉP</v>
      </c>
    </row>
    <row r="429" spans="1:12" x14ac:dyDescent="0.3">
      <c r="A429" s="4">
        <f t="shared" si="14"/>
        <v>428</v>
      </c>
      <c r="G429" s="4">
        <f>IFERROR(_xlfn.XLOOKUP(F429,'Hồ sơ phương tiện'!$B:$B,'Hồ sơ phương tiện'!$E:$E),"")</f>
        <v>0</v>
      </c>
      <c r="J429" s="4" t="str">
        <f>IFERROR(_xlfn.XLOOKUP(F429,'Hồ sơ phương tiện'!$B:$B,'Hồ sơ phương tiện'!$N:$N),"")</f>
        <v>THIẾU</v>
      </c>
      <c r="K429" s="4" t="str">
        <f>IFERROR(_xlfn.XLOOKUP(F429,'Hồ sơ phương tiện'!$B:$B,'Hồ sơ phương tiện'!$X:$X),"")</f>
        <v>KHÔNG PHÙ HỢP</v>
      </c>
      <c r="L429" s="4" t="str">
        <f t="shared" si="15"/>
        <v>KHÔNG CHO PHÉP</v>
      </c>
    </row>
    <row r="430" spans="1:12" x14ac:dyDescent="0.3">
      <c r="A430" s="4">
        <f t="shared" si="14"/>
        <v>429</v>
      </c>
      <c r="G430" s="4">
        <f>IFERROR(_xlfn.XLOOKUP(F430,'Hồ sơ phương tiện'!$B:$B,'Hồ sơ phương tiện'!$E:$E),"")</f>
        <v>0</v>
      </c>
      <c r="J430" s="4" t="str">
        <f>IFERROR(_xlfn.XLOOKUP(F430,'Hồ sơ phương tiện'!$B:$B,'Hồ sơ phương tiện'!$N:$N),"")</f>
        <v>THIẾU</v>
      </c>
      <c r="K430" s="4" t="str">
        <f>IFERROR(_xlfn.XLOOKUP(F430,'Hồ sơ phương tiện'!$B:$B,'Hồ sơ phương tiện'!$X:$X),"")</f>
        <v>KHÔNG PHÙ HỢP</v>
      </c>
      <c r="L430" s="4" t="str">
        <f t="shared" si="15"/>
        <v>KHÔNG CHO PHÉP</v>
      </c>
    </row>
    <row r="431" spans="1:12" x14ac:dyDescent="0.3">
      <c r="A431" s="4">
        <f t="shared" si="14"/>
        <v>430</v>
      </c>
      <c r="G431" s="4">
        <f>IFERROR(_xlfn.XLOOKUP(F431,'Hồ sơ phương tiện'!$B:$B,'Hồ sơ phương tiện'!$E:$E),"")</f>
        <v>0</v>
      </c>
      <c r="J431" s="4" t="str">
        <f>IFERROR(_xlfn.XLOOKUP(F431,'Hồ sơ phương tiện'!$B:$B,'Hồ sơ phương tiện'!$N:$N),"")</f>
        <v>THIẾU</v>
      </c>
      <c r="K431" s="4" t="str">
        <f>IFERROR(_xlfn.XLOOKUP(F431,'Hồ sơ phương tiện'!$B:$B,'Hồ sơ phương tiện'!$X:$X),"")</f>
        <v>KHÔNG PHÙ HỢP</v>
      </c>
      <c r="L431" s="4" t="str">
        <f t="shared" si="15"/>
        <v>KHÔNG CHO PHÉP</v>
      </c>
    </row>
    <row r="432" spans="1:12" x14ac:dyDescent="0.3">
      <c r="A432" s="4">
        <f t="shared" si="14"/>
        <v>431</v>
      </c>
      <c r="G432" s="4">
        <f>IFERROR(_xlfn.XLOOKUP(F432,'Hồ sơ phương tiện'!$B:$B,'Hồ sơ phương tiện'!$E:$E),"")</f>
        <v>0</v>
      </c>
      <c r="J432" s="4" t="str">
        <f>IFERROR(_xlfn.XLOOKUP(F432,'Hồ sơ phương tiện'!$B:$B,'Hồ sơ phương tiện'!$N:$N),"")</f>
        <v>THIẾU</v>
      </c>
      <c r="K432" s="4" t="str">
        <f>IFERROR(_xlfn.XLOOKUP(F432,'Hồ sơ phương tiện'!$B:$B,'Hồ sơ phương tiện'!$X:$X),"")</f>
        <v>KHÔNG PHÙ HỢP</v>
      </c>
      <c r="L432" s="4" t="str">
        <f t="shared" si="15"/>
        <v>KHÔNG CHO PHÉP</v>
      </c>
    </row>
    <row r="433" spans="1:12" x14ac:dyDescent="0.3">
      <c r="A433" s="4">
        <f t="shared" si="14"/>
        <v>432</v>
      </c>
      <c r="G433" s="4">
        <f>IFERROR(_xlfn.XLOOKUP(F433,'Hồ sơ phương tiện'!$B:$B,'Hồ sơ phương tiện'!$E:$E),"")</f>
        <v>0</v>
      </c>
      <c r="J433" s="4" t="str">
        <f>IFERROR(_xlfn.XLOOKUP(F433,'Hồ sơ phương tiện'!$B:$B,'Hồ sơ phương tiện'!$N:$N),"")</f>
        <v>THIẾU</v>
      </c>
      <c r="K433" s="4" t="str">
        <f>IFERROR(_xlfn.XLOOKUP(F433,'Hồ sơ phương tiện'!$B:$B,'Hồ sơ phương tiện'!$X:$X),"")</f>
        <v>KHÔNG PHÙ HỢP</v>
      </c>
      <c r="L433" s="4" t="str">
        <f t="shared" si="15"/>
        <v>KHÔNG CHO PHÉP</v>
      </c>
    </row>
    <row r="434" spans="1:12" x14ac:dyDescent="0.3">
      <c r="A434" s="4">
        <f t="shared" si="14"/>
        <v>433</v>
      </c>
      <c r="G434" s="4">
        <f>IFERROR(_xlfn.XLOOKUP(F434,'Hồ sơ phương tiện'!$B:$B,'Hồ sơ phương tiện'!$E:$E),"")</f>
        <v>0</v>
      </c>
      <c r="J434" s="4" t="str">
        <f>IFERROR(_xlfn.XLOOKUP(F434,'Hồ sơ phương tiện'!$B:$B,'Hồ sơ phương tiện'!$N:$N),"")</f>
        <v>THIẾU</v>
      </c>
      <c r="K434" s="4" t="str">
        <f>IFERROR(_xlfn.XLOOKUP(F434,'Hồ sơ phương tiện'!$B:$B,'Hồ sơ phương tiện'!$X:$X),"")</f>
        <v>KHÔNG PHÙ HỢP</v>
      </c>
      <c r="L434" s="4" t="str">
        <f t="shared" si="15"/>
        <v>KHÔNG CHO PHÉP</v>
      </c>
    </row>
    <row r="435" spans="1:12" x14ac:dyDescent="0.3">
      <c r="A435" s="4">
        <f t="shared" si="14"/>
        <v>434</v>
      </c>
      <c r="G435" s="4">
        <f>IFERROR(_xlfn.XLOOKUP(F435,'Hồ sơ phương tiện'!$B:$B,'Hồ sơ phương tiện'!$E:$E),"")</f>
        <v>0</v>
      </c>
      <c r="J435" s="4" t="str">
        <f>IFERROR(_xlfn.XLOOKUP(F435,'Hồ sơ phương tiện'!$B:$B,'Hồ sơ phương tiện'!$N:$N),"")</f>
        <v>THIẾU</v>
      </c>
      <c r="K435" s="4" t="str">
        <f>IFERROR(_xlfn.XLOOKUP(F435,'Hồ sơ phương tiện'!$B:$B,'Hồ sơ phương tiện'!$X:$X),"")</f>
        <v>KHÔNG PHÙ HỢP</v>
      </c>
      <c r="L435" s="4" t="str">
        <f t="shared" si="15"/>
        <v>KHÔNG CHO PHÉP</v>
      </c>
    </row>
    <row r="436" spans="1:12" x14ac:dyDescent="0.3">
      <c r="A436" s="4">
        <f t="shared" si="14"/>
        <v>435</v>
      </c>
      <c r="G436" s="4">
        <f>IFERROR(_xlfn.XLOOKUP(F436,'Hồ sơ phương tiện'!$B:$B,'Hồ sơ phương tiện'!$E:$E),"")</f>
        <v>0</v>
      </c>
      <c r="J436" s="4" t="str">
        <f>IFERROR(_xlfn.XLOOKUP(F436,'Hồ sơ phương tiện'!$B:$B,'Hồ sơ phương tiện'!$N:$N),"")</f>
        <v>THIẾU</v>
      </c>
      <c r="K436" s="4" t="str">
        <f>IFERROR(_xlfn.XLOOKUP(F436,'Hồ sơ phương tiện'!$B:$B,'Hồ sơ phương tiện'!$X:$X),"")</f>
        <v>KHÔNG PHÙ HỢP</v>
      </c>
      <c r="L436" s="4" t="str">
        <f t="shared" si="15"/>
        <v>KHÔNG CHO PHÉP</v>
      </c>
    </row>
    <row r="437" spans="1:12" x14ac:dyDescent="0.3">
      <c r="A437" s="4">
        <f t="shared" si="14"/>
        <v>436</v>
      </c>
      <c r="G437" s="4">
        <f>IFERROR(_xlfn.XLOOKUP(F437,'Hồ sơ phương tiện'!$B:$B,'Hồ sơ phương tiện'!$E:$E),"")</f>
        <v>0</v>
      </c>
      <c r="J437" s="4" t="str">
        <f>IFERROR(_xlfn.XLOOKUP(F437,'Hồ sơ phương tiện'!$B:$B,'Hồ sơ phương tiện'!$N:$N),"")</f>
        <v>THIẾU</v>
      </c>
      <c r="K437" s="4" t="str">
        <f>IFERROR(_xlfn.XLOOKUP(F437,'Hồ sơ phương tiện'!$B:$B,'Hồ sơ phương tiện'!$X:$X),"")</f>
        <v>KHÔNG PHÙ HỢP</v>
      </c>
      <c r="L437" s="4" t="str">
        <f t="shared" si="15"/>
        <v>KHÔNG CHO PHÉP</v>
      </c>
    </row>
    <row r="438" spans="1:12" x14ac:dyDescent="0.3">
      <c r="A438" s="4">
        <f t="shared" si="14"/>
        <v>437</v>
      </c>
      <c r="G438" s="4">
        <f>IFERROR(_xlfn.XLOOKUP(F438,'Hồ sơ phương tiện'!$B:$B,'Hồ sơ phương tiện'!$E:$E),"")</f>
        <v>0</v>
      </c>
      <c r="J438" s="4" t="str">
        <f>IFERROR(_xlfn.XLOOKUP(F438,'Hồ sơ phương tiện'!$B:$B,'Hồ sơ phương tiện'!$N:$N),"")</f>
        <v>THIẾU</v>
      </c>
      <c r="K438" s="4" t="str">
        <f>IFERROR(_xlfn.XLOOKUP(F438,'Hồ sơ phương tiện'!$B:$B,'Hồ sơ phương tiện'!$X:$X),"")</f>
        <v>KHÔNG PHÙ HỢP</v>
      </c>
      <c r="L438" s="4" t="str">
        <f t="shared" si="15"/>
        <v>KHÔNG CHO PHÉP</v>
      </c>
    </row>
    <row r="439" spans="1:12" x14ac:dyDescent="0.3">
      <c r="A439" s="4">
        <f t="shared" si="14"/>
        <v>438</v>
      </c>
      <c r="G439" s="4">
        <f>IFERROR(_xlfn.XLOOKUP(F439,'Hồ sơ phương tiện'!$B:$B,'Hồ sơ phương tiện'!$E:$E),"")</f>
        <v>0</v>
      </c>
      <c r="J439" s="4" t="str">
        <f>IFERROR(_xlfn.XLOOKUP(F439,'Hồ sơ phương tiện'!$B:$B,'Hồ sơ phương tiện'!$N:$N),"")</f>
        <v>THIẾU</v>
      </c>
      <c r="K439" s="4" t="str">
        <f>IFERROR(_xlfn.XLOOKUP(F439,'Hồ sơ phương tiện'!$B:$B,'Hồ sơ phương tiện'!$X:$X),"")</f>
        <v>KHÔNG PHÙ HỢP</v>
      </c>
      <c r="L439" s="4" t="str">
        <f t="shared" si="15"/>
        <v>KHÔNG CHO PHÉP</v>
      </c>
    </row>
    <row r="440" spans="1:12" x14ac:dyDescent="0.3">
      <c r="A440" s="4">
        <f t="shared" si="14"/>
        <v>439</v>
      </c>
      <c r="G440" s="4">
        <f>IFERROR(_xlfn.XLOOKUP(F440,'Hồ sơ phương tiện'!$B:$B,'Hồ sơ phương tiện'!$E:$E),"")</f>
        <v>0</v>
      </c>
      <c r="J440" s="4" t="str">
        <f>IFERROR(_xlfn.XLOOKUP(F440,'Hồ sơ phương tiện'!$B:$B,'Hồ sơ phương tiện'!$N:$N),"")</f>
        <v>THIẾU</v>
      </c>
      <c r="K440" s="4" t="str">
        <f>IFERROR(_xlfn.XLOOKUP(F440,'Hồ sơ phương tiện'!$B:$B,'Hồ sơ phương tiện'!$X:$X),"")</f>
        <v>KHÔNG PHÙ HỢP</v>
      </c>
      <c r="L440" s="4" t="str">
        <f t="shared" si="15"/>
        <v>KHÔNG CHO PHÉP</v>
      </c>
    </row>
    <row r="441" spans="1:12" x14ac:dyDescent="0.3">
      <c r="A441" s="4">
        <f t="shared" si="14"/>
        <v>440</v>
      </c>
      <c r="G441" s="4">
        <f>IFERROR(_xlfn.XLOOKUP(F441,'Hồ sơ phương tiện'!$B:$B,'Hồ sơ phương tiện'!$E:$E),"")</f>
        <v>0</v>
      </c>
      <c r="J441" s="4" t="str">
        <f>IFERROR(_xlfn.XLOOKUP(F441,'Hồ sơ phương tiện'!$B:$B,'Hồ sơ phương tiện'!$N:$N),"")</f>
        <v>THIẾU</v>
      </c>
      <c r="K441" s="4" t="str">
        <f>IFERROR(_xlfn.XLOOKUP(F441,'Hồ sơ phương tiện'!$B:$B,'Hồ sơ phương tiện'!$X:$X),"")</f>
        <v>KHÔNG PHÙ HỢP</v>
      </c>
      <c r="L441" s="4" t="str">
        <f t="shared" si="15"/>
        <v>KHÔNG CHO PHÉP</v>
      </c>
    </row>
    <row r="442" spans="1:12" x14ac:dyDescent="0.3">
      <c r="A442" s="4">
        <f t="shared" si="14"/>
        <v>441</v>
      </c>
      <c r="G442" s="4">
        <f>IFERROR(_xlfn.XLOOKUP(F442,'Hồ sơ phương tiện'!$B:$B,'Hồ sơ phương tiện'!$E:$E),"")</f>
        <v>0</v>
      </c>
      <c r="J442" s="4" t="str">
        <f>IFERROR(_xlfn.XLOOKUP(F442,'Hồ sơ phương tiện'!$B:$B,'Hồ sơ phương tiện'!$N:$N),"")</f>
        <v>THIẾU</v>
      </c>
      <c r="K442" s="4" t="str">
        <f>IFERROR(_xlfn.XLOOKUP(F442,'Hồ sơ phương tiện'!$B:$B,'Hồ sơ phương tiện'!$X:$X),"")</f>
        <v>KHÔNG PHÙ HỢP</v>
      </c>
      <c r="L442" s="4" t="str">
        <f t="shared" si="15"/>
        <v>KHÔNG CHO PHÉP</v>
      </c>
    </row>
    <row r="443" spans="1:12" x14ac:dyDescent="0.3">
      <c r="A443" s="4">
        <f t="shared" si="14"/>
        <v>442</v>
      </c>
      <c r="G443" s="4">
        <f>IFERROR(_xlfn.XLOOKUP(F443,'Hồ sơ phương tiện'!$B:$B,'Hồ sơ phương tiện'!$E:$E),"")</f>
        <v>0</v>
      </c>
      <c r="J443" s="4" t="str">
        <f>IFERROR(_xlfn.XLOOKUP(F443,'Hồ sơ phương tiện'!$B:$B,'Hồ sơ phương tiện'!$N:$N),"")</f>
        <v>THIẾU</v>
      </c>
      <c r="K443" s="4" t="str">
        <f>IFERROR(_xlfn.XLOOKUP(F443,'Hồ sơ phương tiện'!$B:$B,'Hồ sơ phương tiện'!$X:$X),"")</f>
        <v>KHÔNG PHÙ HỢP</v>
      </c>
      <c r="L443" s="4" t="str">
        <f t="shared" si="15"/>
        <v>KHÔNG CHO PHÉP</v>
      </c>
    </row>
    <row r="444" spans="1:12" x14ac:dyDescent="0.3">
      <c r="A444" s="4">
        <f t="shared" si="14"/>
        <v>443</v>
      </c>
      <c r="G444" s="4">
        <f>IFERROR(_xlfn.XLOOKUP(F444,'Hồ sơ phương tiện'!$B:$B,'Hồ sơ phương tiện'!$E:$E),"")</f>
        <v>0</v>
      </c>
      <c r="J444" s="4" t="str">
        <f>IFERROR(_xlfn.XLOOKUP(F444,'Hồ sơ phương tiện'!$B:$B,'Hồ sơ phương tiện'!$N:$N),"")</f>
        <v>THIẾU</v>
      </c>
      <c r="K444" s="4" t="str">
        <f>IFERROR(_xlfn.XLOOKUP(F444,'Hồ sơ phương tiện'!$B:$B,'Hồ sơ phương tiện'!$X:$X),"")</f>
        <v>KHÔNG PHÙ HỢP</v>
      </c>
      <c r="L444" s="4" t="str">
        <f t="shared" si="15"/>
        <v>KHÔNG CHO PHÉP</v>
      </c>
    </row>
    <row r="445" spans="1:12" x14ac:dyDescent="0.3">
      <c r="A445" s="4">
        <f t="shared" si="14"/>
        <v>444</v>
      </c>
      <c r="G445" s="4">
        <f>IFERROR(_xlfn.XLOOKUP(F445,'Hồ sơ phương tiện'!$B:$B,'Hồ sơ phương tiện'!$E:$E),"")</f>
        <v>0</v>
      </c>
      <c r="J445" s="4" t="str">
        <f>IFERROR(_xlfn.XLOOKUP(F445,'Hồ sơ phương tiện'!$B:$B,'Hồ sơ phương tiện'!$N:$N),"")</f>
        <v>THIẾU</v>
      </c>
      <c r="K445" s="4" t="str">
        <f>IFERROR(_xlfn.XLOOKUP(F445,'Hồ sơ phương tiện'!$B:$B,'Hồ sơ phương tiện'!$X:$X),"")</f>
        <v>KHÔNG PHÙ HỢP</v>
      </c>
      <c r="L445" s="4" t="str">
        <f t="shared" si="15"/>
        <v>KHÔNG CHO PHÉP</v>
      </c>
    </row>
    <row r="446" spans="1:12" x14ac:dyDescent="0.3">
      <c r="A446" s="4">
        <f t="shared" si="14"/>
        <v>445</v>
      </c>
      <c r="G446" s="4">
        <f>IFERROR(_xlfn.XLOOKUP(F446,'Hồ sơ phương tiện'!$B:$B,'Hồ sơ phương tiện'!$E:$E),"")</f>
        <v>0</v>
      </c>
      <c r="J446" s="4" t="str">
        <f>IFERROR(_xlfn.XLOOKUP(F446,'Hồ sơ phương tiện'!$B:$B,'Hồ sơ phương tiện'!$N:$N),"")</f>
        <v>THIẾU</v>
      </c>
      <c r="K446" s="4" t="str">
        <f>IFERROR(_xlfn.XLOOKUP(F446,'Hồ sơ phương tiện'!$B:$B,'Hồ sơ phương tiện'!$X:$X),"")</f>
        <v>KHÔNG PHÙ HỢP</v>
      </c>
      <c r="L446" s="4" t="str">
        <f t="shared" si="15"/>
        <v>KHÔNG CHO PHÉP</v>
      </c>
    </row>
    <row r="447" spans="1:12" x14ac:dyDescent="0.3">
      <c r="A447" s="4">
        <f t="shared" si="14"/>
        <v>446</v>
      </c>
      <c r="G447" s="4">
        <f>IFERROR(_xlfn.XLOOKUP(F447,'Hồ sơ phương tiện'!$B:$B,'Hồ sơ phương tiện'!$E:$E),"")</f>
        <v>0</v>
      </c>
      <c r="J447" s="4" t="str">
        <f>IFERROR(_xlfn.XLOOKUP(F447,'Hồ sơ phương tiện'!$B:$B,'Hồ sơ phương tiện'!$N:$N),"")</f>
        <v>THIẾU</v>
      </c>
      <c r="K447" s="4" t="str">
        <f>IFERROR(_xlfn.XLOOKUP(F447,'Hồ sơ phương tiện'!$B:$B,'Hồ sơ phương tiện'!$X:$X),"")</f>
        <v>KHÔNG PHÙ HỢP</v>
      </c>
      <c r="L447" s="4" t="str">
        <f t="shared" si="15"/>
        <v>KHÔNG CHO PHÉP</v>
      </c>
    </row>
    <row r="448" spans="1:12" x14ac:dyDescent="0.3">
      <c r="A448" s="4">
        <f t="shared" si="14"/>
        <v>447</v>
      </c>
      <c r="G448" s="4">
        <f>IFERROR(_xlfn.XLOOKUP(F448,'Hồ sơ phương tiện'!$B:$B,'Hồ sơ phương tiện'!$E:$E),"")</f>
        <v>0</v>
      </c>
      <c r="J448" s="4" t="str">
        <f>IFERROR(_xlfn.XLOOKUP(F448,'Hồ sơ phương tiện'!$B:$B,'Hồ sơ phương tiện'!$N:$N),"")</f>
        <v>THIẾU</v>
      </c>
      <c r="K448" s="4" t="str">
        <f>IFERROR(_xlfn.XLOOKUP(F448,'Hồ sơ phương tiện'!$B:$B,'Hồ sơ phương tiện'!$X:$X),"")</f>
        <v>KHÔNG PHÙ HỢP</v>
      </c>
      <c r="L448" s="4" t="str">
        <f t="shared" si="15"/>
        <v>KHÔNG CHO PHÉP</v>
      </c>
    </row>
    <row r="449" spans="1:12" x14ac:dyDescent="0.3">
      <c r="A449" s="4">
        <f t="shared" si="14"/>
        <v>448</v>
      </c>
      <c r="G449" s="4">
        <f>IFERROR(_xlfn.XLOOKUP(F449,'Hồ sơ phương tiện'!$B:$B,'Hồ sơ phương tiện'!$E:$E),"")</f>
        <v>0</v>
      </c>
      <c r="J449" s="4" t="str">
        <f>IFERROR(_xlfn.XLOOKUP(F449,'Hồ sơ phương tiện'!$B:$B,'Hồ sơ phương tiện'!$N:$N),"")</f>
        <v>THIẾU</v>
      </c>
      <c r="K449" s="4" t="str">
        <f>IFERROR(_xlfn.XLOOKUP(F449,'Hồ sơ phương tiện'!$B:$B,'Hồ sơ phương tiện'!$X:$X),"")</f>
        <v>KHÔNG PHÙ HỢP</v>
      </c>
      <c r="L449" s="4" t="str">
        <f t="shared" si="15"/>
        <v>KHÔNG CHO PHÉP</v>
      </c>
    </row>
    <row r="450" spans="1:12" x14ac:dyDescent="0.3">
      <c r="A450" s="4">
        <f t="shared" ref="A450:A500" si="16">ROW()-1</f>
        <v>449</v>
      </c>
      <c r="G450" s="4">
        <f>IFERROR(_xlfn.XLOOKUP(F450,'Hồ sơ phương tiện'!$B:$B,'Hồ sơ phương tiện'!$E:$E),"")</f>
        <v>0</v>
      </c>
      <c r="J450" s="4" t="str">
        <f>IFERROR(_xlfn.XLOOKUP(F450,'Hồ sơ phương tiện'!$B:$B,'Hồ sơ phương tiện'!$N:$N),"")</f>
        <v>THIẾU</v>
      </c>
      <c r="K450" s="4" t="str">
        <f>IFERROR(_xlfn.XLOOKUP(F450,'Hồ sơ phương tiện'!$B:$B,'Hồ sơ phương tiện'!$X:$X),"")</f>
        <v>KHÔNG PHÙ HỢP</v>
      </c>
      <c r="L450" s="4" t="str">
        <f t="shared" si="15"/>
        <v>KHÔNG CHO PHÉP</v>
      </c>
    </row>
    <row r="451" spans="1:12" x14ac:dyDescent="0.3">
      <c r="A451" s="4">
        <f t="shared" si="16"/>
        <v>450</v>
      </c>
      <c r="G451" s="4">
        <f>IFERROR(_xlfn.XLOOKUP(F451,'Hồ sơ phương tiện'!$B:$B,'Hồ sơ phương tiện'!$E:$E),"")</f>
        <v>0</v>
      </c>
      <c r="J451" s="4" t="str">
        <f>IFERROR(_xlfn.XLOOKUP(F451,'Hồ sơ phương tiện'!$B:$B,'Hồ sơ phương tiện'!$N:$N),"")</f>
        <v>THIẾU</v>
      </c>
      <c r="K451" s="4" t="str">
        <f>IFERROR(_xlfn.XLOOKUP(F451,'Hồ sơ phương tiện'!$B:$B,'Hồ sơ phương tiện'!$X:$X),"")</f>
        <v>KHÔNG PHÙ HỢP</v>
      </c>
      <c r="L451" s="4" t="str">
        <f t="shared" si="15"/>
        <v>KHÔNG CHO PHÉP</v>
      </c>
    </row>
    <row r="452" spans="1:12" x14ac:dyDescent="0.3">
      <c r="A452" s="4">
        <f t="shared" si="16"/>
        <v>451</v>
      </c>
      <c r="G452" s="4">
        <f>IFERROR(_xlfn.XLOOKUP(F452,'Hồ sơ phương tiện'!$B:$B,'Hồ sơ phương tiện'!$E:$E),"")</f>
        <v>0</v>
      </c>
      <c r="J452" s="4" t="str">
        <f>IFERROR(_xlfn.XLOOKUP(F452,'Hồ sơ phương tiện'!$B:$B,'Hồ sơ phương tiện'!$N:$N),"")</f>
        <v>THIẾU</v>
      </c>
      <c r="K452" s="4" t="str">
        <f>IFERROR(_xlfn.XLOOKUP(F452,'Hồ sơ phương tiện'!$B:$B,'Hồ sơ phương tiện'!$X:$X),"")</f>
        <v>KHÔNG PHÙ HỢP</v>
      </c>
      <c r="L452" s="4" t="str">
        <f t="shared" si="15"/>
        <v>KHÔNG CHO PHÉP</v>
      </c>
    </row>
    <row r="453" spans="1:12" x14ac:dyDescent="0.3">
      <c r="A453" s="4">
        <f t="shared" si="16"/>
        <v>452</v>
      </c>
      <c r="G453" s="4">
        <f>IFERROR(_xlfn.XLOOKUP(F453,'Hồ sơ phương tiện'!$B:$B,'Hồ sơ phương tiện'!$E:$E),"")</f>
        <v>0</v>
      </c>
      <c r="J453" s="4" t="str">
        <f>IFERROR(_xlfn.XLOOKUP(F453,'Hồ sơ phương tiện'!$B:$B,'Hồ sơ phương tiện'!$N:$N),"")</f>
        <v>THIẾU</v>
      </c>
      <c r="K453" s="4" t="str">
        <f>IFERROR(_xlfn.XLOOKUP(F453,'Hồ sơ phương tiện'!$B:$B,'Hồ sơ phương tiện'!$X:$X),"")</f>
        <v>KHÔNG PHÙ HỢP</v>
      </c>
      <c r="L453" s="4" t="str">
        <f t="shared" ref="L453:L500" si="17">IF(AND(J453="Đủ",K453="PHÙ HỢP"),"CHO PHÉP","KHÔNG CHO PHÉP")</f>
        <v>KHÔNG CHO PHÉP</v>
      </c>
    </row>
    <row r="454" spans="1:12" x14ac:dyDescent="0.3">
      <c r="A454" s="4">
        <f t="shared" si="16"/>
        <v>453</v>
      </c>
      <c r="G454" s="4">
        <f>IFERROR(_xlfn.XLOOKUP(F454,'Hồ sơ phương tiện'!$B:$B,'Hồ sơ phương tiện'!$E:$E),"")</f>
        <v>0</v>
      </c>
      <c r="J454" s="4" t="str">
        <f>IFERROR(_xlfn.XLOOKUP(F454,'Hồ sơ phương tiện'!$B:$B,'Hồ sơ phương tiện'!$N:$N),"")</f>
        <v>THIẾU</v>
      </c>
      <c r="K454" s="4" t="str">
        <f>IFERROR(_xlfn.XLOOKUP(F454,'Hồ sơ phương tiện'!$B:$B,'Hồ sơ phương tiện'!$X:$X),"")</f>
        <v>KHÔNG PHÙ HỢP</v>
      </c>
      <c r="L454" s="4" t="str">
        <f t="shared" si="17"/>
        <v>KHÔNG CHO PHÉP</v>
      </c>
    </row>
    <row r="455" spans="1:12" x14ac:dyDescent="0.3">
      <c r="A455" s="4">
        <f t="shared" si="16"/>
        <v>454</v>
      </c>
      <c r="G455" s="4">
        <f>IFERROR(_xlfn.XLOOKUP(F455,'Hồ sơ phương tiện'!$B:$B,'Hồ sơ phương tiện'!$E:$E),"")</f>
        <v>0</v>
      </c>
      <c r="J455" s="4" t="str">
        <f>IFERROR(_xlfn.XLOOKUP(F455,'Hồ sơ phương tiện'!$B:$B,'Hồ sơ phương tiện'!$N:$N),"")</f>
        <v>THIẾU</v>
      </c>
      <c r="K455" s="4" t="str">
        <f>IFERROR(_xlfn.XLOOKUP(F455,'Hồ sơ phương tiện'!$B:$B,'Hồ sơ phương tiện'!$X:$X),"")</f>
        <v>KHÔNG PHÙ HỢP</v>
      </c>
      <c r="L455" s="4" t="str">
        <f t="shared" si="17"/>
        <v>KHÔNG CHO PHÉP</v>
      </c>
    </row>
    <row r="456" spans="1:12" x14ac:dyDescent="0.3">
      <c r="A456" s="4">
        <f t="shared" si="16"/>
        <v>455</v>
      </c>
      <c r="G456" s="4">
        <f>IFERROR(_xlfn.XLOOKUP(F456,'Hồ sơ phương tiện'!$B:$B,'Hồ sơ phương tiện'!$E:$E),"")</f>
        <v>0</v>
      </c>
      <c r="J456" s="4" t="str">
        <f>IFERROR(_xlfn.XLOOKUP(F456,'Hồ sơ phương tiện'!$B:$B,'Hồ sơ phương tiện'!$N:$N),"")</f>
        <v>THIẾU</v>
      </c>
      <c r="K456" s="4" t="str">
        <f>IFERROR(_xlfn.XLOOKUP(F456,'Hồ sơ phương tiện'!$B:$B,'Hồ sơ phương tiện'!$X:$X),"")</f>
        <v>KHÔNG PHÙ HỢP</v>
      </c>
      <c r="L456" s="4" t="str">
        <f t="shared" si="17"/>
        <v>KHÔNG CHO PHÉP</v>
      </c>
    </row>
    <row r="457" spans="1:12" x14ac:dyDescent="0.3">
      <c r="A457" s="4">
        <f t="shared" si="16"/>
        <v>456</v>
      </c>
      <c r="G457" s="4">
        <f>IFERROR(_xlfn.XLOOKUP(F457,'Hồ sơ phương tiện'!$B:$B,'Hồ sơ phương tiện'!$E:$E),"")</f>
        <v>0</v>
      </c>
      <c r="J457" s="4" t="str">
        <f>IFERROR(_xlfn.XLOOKUP(F457,'Hồ sơ phương tiện'!$B:$B,'Hồ sơ phương tiện'!$N:$N),"")</f>
        <v>THIẾU</v>
      </c>
      <c r="K457" s="4" t="str">
        <f>IFERROR(_xlfn.XLOOKUP(F457,'Hồ sơ phương tiện'!$B:$B,'Hồ sơ phương tiện'!$X:$X),"")</f>
        <v>KHÔNG PHÙ HỢP</v>
      </c>
      <c r="L457" s="4" t="str">
        <f t="shared" si="17"/>
        <v>KHÔNG CHO PHÉP</v>
      </c>
    </row>
    <row r="458" spans="1:12" x14ac:dyDescent="0.3">
      <c r="A458" s="4">
        <f t="shared" si="16"/>
        <v>457</v>
      </c>
      <c r="G458" s="4">
        <f>IFERROR(_xlfn.XLOOKUP(F458,'Hồ sơ phương tiện'!$B:$B,'Hồ sơ phương tiện'!$E:$E),"")</f>
        <v>0</v>
      </c>
      <c r="J458" s="4" t="str">
        <f>IFERROR(_xlfn.XLOOKUP(F458,'Hồ sơ phương tiện'!$B:$B,'Hồ sơ phương tiện'!$N:$N),"")</f>
        <v>THIẾU</v>
      </c>
      <c r="K458" s="4" t="str">
        <f>IFERROR(_xlfn.XLOOKUP(F458,'Hồ sơ phương tiện'!$B:$B,'Hồ sơ phương tiện'!$X:$X),"")</f>
        <v>KHÔNG PHÙ HỢP</v>
      </c>
      <c r="L458" s="4" t="str">
        <f t="shared" si="17"/>
        <v>KHÔNG CHO PHÉP</v>
      </c>
    </row>
    <row r="459" spans="1:12" x14ac:dyDescent="0.3">
      <c r="A459" s="4">
        <f t="shared" si="16"/>
        <v>458</v>
      </c>
      <c r="G459" s="4">
        <f>IFERROR(_xlfn.XLOOKUP(F459,'Hồ sơ phương tiện'!$B:$B,'Hồ sơ phương tiện'!$E:$E),"")</f>
        <v>0</v>
      </c>
      <c r="J459" s="4" t="str">
        <f>IFERROR(_xlfn.XLOOKUP(F459,'Hồ sơ phương tiện'!$B:$B,'Hồ sơ phương tiện'!$N:$N),"")</f>
        <v>THIẾU</v>
      </c>
      <c r="K459" s="4" t="str">
        <f>IFERROR(_xlfn.XLOOKUP(F459,'Hồ sơ phương tiện'!$B:$B,'Hồ sơ phương tiện'!$X:$X),"")</f>
        <v>KHÔNG PHÙ HỢP</v>
      </c>
      <c r="L459" s="4" t="str">
        <f t="shared" si="17"/>
        <v>KHÔNG CHO PHÉP</v>
      </c>
    </row>
    <row r="460" spans="1:12" x14ac:dyDescent="0.3">
      <c r="A460" s="4">
        <f t="shared" si="16"/>
        <v>459</v>
      </c>
      <c r="G460" s="4">
        <f>IFERROR(_xlfn.XLOOKUP(F460,'Hồ sơ phương tiện'!$B:$B,'Hồ sơ phương tiện'!$E:$E),"")</f>
        <v>0</v>
      </c>
      <c r="J460" s="4" t="str">
        <f>IFERROR(_xlfn.XLOOKUP(F460,'Hồ sơ phương tiện'!$B:$B,'Hồ sơ phương tiện'!$N:$N),"")</f>
        <v>THIẾU</v>
      </c>
      <c r="K460" s="4" t="str">
        <f>IFERROR(_xlfn.XLOOKUP(F460,'Hồ sơ phương tiện'!$B:$B,'Hồ sơ phương tiện'!$X:$X),"")</f>
        <v>KHÔNG PHÙ HỢP</v>
      </c>
      <c r="L460" s="4" t="str">
        <f t="shared" si="17"/>
        <v>KHÔNG CHO PHÉP</v>
      </c>
    </row>
    <row r="461" spans="1:12" x14ac:dyDescent="0.3">
      <c r="A461" s="4">
        <f t="shared" si="16"/>
        <v>460</v>
      </c>
      <c r="G461" s="4">
        <f>IFERROR(_xlfn.XLOOKUP(F461,'Hồ sơ phương tiện'!$B:$B,'Hồ sơ phương tiện'!$E:$E),"")</f>
        <v>0</v>
      </c>
      <c r="J461" s="4" t="str">
        <f>IFERROR(_xlfn.XLOOKUP(F461,'Hồ sơ phương tiện'!$B:$B,'Hồ sơ phương tiện'!$N:$N),"")</f>
        <v>THIẾU</v>
      </c>
      <c r="K461" s="4" t="str">
        <f>IFERROR(_xlfn.XLOOKUP(F461,'Hồ sơ phương tiện'!$B:$B,'Hồ sơ phương tiện'!$X:$X),"")</f>
        <v>KHÔNG PHÙ HỢP</v>
      </c>
      <c r="L461" s="4" t="str">
        <f t="shared" si="17"/>
        <v>KHÔNG CHO PHÉP</v>
      </c>
    </row>
    <row r="462" spans="1:12" x14ac:dyDescent="0.3">
      <c r="A462" s="4">
        <f t="shared" si="16"/>
        <v>461</v>
      </c>
      <c r="G462" s="4">
        <f>IFERROR(_xlfn.XLOOKUP(F462,'Hồ sơ phương tiện'!$B:$B,'Hồ sơ phương tiện'!$E:$E),"")</f>
        <v>0</v>
      </c>
      <c r="J462" s="4" t="str">
        <f>IFERROR(_xlfn.XLOOKUP(F462,'Hồ sơ phương tiện'!$B:$B,'Hồ sơ phương tiện'!$N:$N),"")</f>
        <v>THIẾU</v>
      </c>
      <c r="K462" s="4" t="str">
        <f>IFERROR(_xlfn.XLOOKUP(F462,'Hồ sơ phương tiện'!$B:$B,'Hồ sơ phương tiện'!$X:$X),"")</f>
        <v>KHÔNG PHÙ HỢP</v>
      </c>
      <c r="L462" s="4" t="str">
        <f t="shared" si="17"/>
        <v>KHÔNG CHO PHÉP</v>
      </c>
    </row>
    <row r="463" spans="1:12" x14ac:dyDescent="0.3">
      <c r="A463" s="4">
        <f t="shared" si="16"/>
        <v>462</v>
      </c>
      <c r="G463" s="4">
        <f>IFERROR(_xlfn.XLOOKUP(F463,'Hồ sơ phương tiện'!$B:$B,'Hồ sơ phương tiện'!$E:$E),"")</f>
        <v>0</v>
      </c>
      <c r="J463" s="4" t="str">
        <f>IFERROR(_xlfn.XLOOKUP(F463,'Hồ sơ phương tiện'!$B:$B,'Hồ sơ phương tiện'!$N:$N),"")</f>
        <v>THIẾU</v>
      </c>
      <c r="K463" s="4" t="str">
        <f>IFERROR(_xlfn.XLOOKUP(F463,'Hồ sơ phương tiện'!$B:$B,'Hồ sơ phương tiện'!$X:$X),"")</f>
        <v>KHÔNG PHÙ HỢP</v>
      </c>
      <c r="L463" s="4" t="str">
        <f t="shared" si="17"/>
        <v>KHÔNG CHO PHÉP</v>
      </c>
    </row>
    <row r="464" spans="1:12" x14ac:dyDescent="0.3">
      <c r="A464" s="4">
        <f t="shared" si="16"/>
        <v>463</v>
      </c>
      <c r="G464" s="4">
        <f>IFERROR(_xlfn.XLOOKUP(F464,'Hồ sơ phương tiện'!$B:$B,'Hồ sơ phương tiện'!$E:$E),"")</f>
        <v>0</v>
      </c>
      <c r="J464" s="4" t="str">
        <f>IFERROR(_xlfn.XLOOKUP(F464,'Hồ sơ phương tiện'!$B:$B,'Hồ sơ phương tiện'!$N:$N),"")</f>
        <v>THIẾU</v>
      </c>
      <c r="K464" s="4" t="str">
        <f>IFERROR(_xlfn.XLOOKUP(F464,'Hồ sơ phương tiện'!$B:$B,'Hồ sơ phương tiện'!$X:$X),"")</f>
        <v>KHÔNG PHÙ HỢP</v>
      </c>
      <c r="L464" s="4" t="str">
        <f t="shared" si="17"/>
        <v>KHÔNG CHO PHÉP</v>
      </c>
    </row>
    <row r="465" spans="1:12" x14ac:dyDescent="0.3">
      <c r="A465" s="4">
        <f t="shared" si="16"/>
        <v>464</v>
      </c>
      <c r="G465" s="4">
        <f>IFERROR(_xlfn.XLOOKUP(F465,'Hồ sơ phương tiện'!$B:$B,'Hồ sơ phương tiện'!$E:$E),"")</f>
        <v>0</v>
      </c>
      <c r="J465" s="4" t="str">
        <f>IFERROR(_xlfn.XLOOKUP(F465,'Hồ sơ phương tiện'!$B:$B,'Hồ sơ phương tiện'!$N:$N),"")</f>
        <v>THIẾU</v>
      </c>
      <c r="K465" s="4" t="str">
        <f>IFERROR(_xlfn.XLOOKUP(F465,'Hồ sơ phương tiện'!$B:$B,'Hồ sơ phương tiện'!$X:$X),"")</f>
        <v>KHÔNG PHÙ HỢP</v>
      </c>
      <c r="L465" s="4" t="str">
        <f t="shared" si="17"/>
        <v>KHÔNG CHO PHÉP</v>
      </c>
    </row>
    <row r="466" spans="1:12" x14ac:dyDescent="0.3">
      <c r="A466" s="4">
        <f t="shared" si="16"/>
        <v>465</v>
      </c>
      <c r="G466" s="4">
        <f>IFERROR(_xlfn.XLOOKUP(F466,'Hồ sơ phương tiện'!$B:$B,'Hồ sơ phương tiện'!$E:$E),"")</f>
        <v>0</v>
      </c>
      <c r="J466" s="4" t="str">
        <f>IFERROR(_xlfn.XLOOKUP(F466,'Hồ sơ phương tiện'!$B:$B,'Hồ sơ phương tiện'!$N:$N),"")</f>
        <v>THIẾU</v>
      </c>
      <c r="K466" s="4" t="str">
        <f>IFERROR(_xlfn.XLOOKUP(F466,'Hồ sơ phương tiện'!$B:$B,'Hồ sơ phương tiện'!$X:$X),"")</f>
        <v>KHÔNG PHÙ HỢP</v>
      </c>
      <c r="L466" s="4" t="str">
        <f t="shared" si="17"/>
        <v>KHÔNG CHO PHÉP</v>
      </c>
    </row>
    <row r="467" spans="1:12" x14ac:dyDescent="0.3">
      <c r="A467" s="4">
        <f t="shared" si="16"/>
        <v>466</v>
      </c>
      <c r="G467" s="4">
        <f>IFERROR(_xlfn.XLOOKUP(F467,'Hồ sơ phương tiện'!$B:$B,'Hồ sơ phương tiện'!$E:$E),"")</f>
        <v>0</v>
      </c>
      <c r="J467" s="4" t="str">
        <f>IFERROR(_xlfn.XLOOKUP(F467,'Hồ sơ phương tiện'!$B:$B,'Hồ sơ phương tiện'!$N:$N),"")</f>
        <v>THIẾU</v>
      </c>
      <c r="K467" s="4" t="str">
        <f>IFERROR(_xlfn.XLOOKUP(F467,'Hồ sơ phương tiện'!$B:$B,'Hồ sơ phương tiện'!$X:$X),"")</f>
        <v>KHÔNG PHÙ HỢP</v>
      </c>
      <c r="L467" s="4" t="str">
        <f t="shared" si="17"/>
        <v>KHÔNG CHO PHÉP</v>
      </c>
    </row>
    <row r="468" spans="1:12" x14ac:dyDescent="0.3">
      <c r="A468" s="4">
        <f t="shared" si="16"/>
        <v>467</v>
      </c>
      <c r="G468" s="4">
        <f>IFERROR(_xlfn.XLOOKUP(F468,'Hồ sơ phương tiện'!$B:$B,'Hồ sơ phương tiện'!$E:$E),"")</f>
        <v>0</v>
      </c>
      <c r="J468" s="4" t="str">
        <f>IFERROR(_xlfn.XLOOKUP(F468,'Hồ sơ phương tiện'!$B:$B,'Hồ sơ phương tiện'!$N:$N),"")</f>
        <v>THIẾU</v>
      </c>
      <c r="K468" s="4" t="str">
        <f>IFERROR(_xlfn.XLOOKUP(F468,'Hồ sơ phương tiện'!$B:$B,'Hồ sơ phương tiện'!$X:$X),"")</f>
        <v>KHÔNG PHÙ HỢP</v>
      </c>
      <c r="L468" s="4" t="str">
        <f t="shared" si="17"/>
        <v>KHÔNG CHO PHÉP</v>
      </c>
    </row>
    <row r="469" spans="1:12" x14ac:dyDescent="0.3">
      <c r="A469" s="4">
        <f t="shared" si="16"/>
        <v>468</v>
      </c>
      <c r="G469" s="4">
        <f>IFERROR(_xlfn.XLOOKUP(F469,'Hồ sơ phương tiện'!$B:$B,'Hồ sơ phương tiện'!$E:$E),"")</f>
        <v>0</v>
      </c>
      <c r="J469" s="4" t="str">
        <f>IFERROR(_xlfn.XLOOKUP(F469,'Hồ sơ phương tiện'!$B:$B,'Hồ sơ phương tiện'!$N:$N),"")</f>
        <v>THIẾU</v>
      </c>
      <c r="K469" s="4" t="str">
        <f>IFERROR(_xlfn.XLOOKUP(F469,'Hồ sơ phương tiện'!$B:$B,'Hồ sơ phương tiện'!$X:$X),"")</f>
        <v>KHÔNG PHÙ HỢP</v>
      </c>
      <c r="L469" s="4" t="str">
        <f t="shared" si="17"/>
        <v>KHÔNG CHO PHÉP</v>
      </c>
    </row>
    <row r="470" spans="1:12" x14ac:dyDescent="0.3">
      <c r="A470" s="4">
        <f t="shared" si="16"/>
        <v>469</v>
      </c>
      <c r="G470" s="4">
        <f>IFERROR(_xlfn.XLOOKUP(F470,'Hồ sơ phương tiện'!$B:$B,'Hồ sơ phương tiện'!$E:$E),"")</f>
        <v>0</v>
      </c>
      <c r="J470" s="4" t="str">
        <f>IFERROR(_xlfn.XLOOKUP(F470,'Hồ sơ phương tiện'!$B:$B,'Hồ sơ phương tiện'!$N:$N),"")</f>
        <v>THIẾU</v>
      </c>
      <c r="K470" s="4" t="str">
        <f>IFERROR(_xlfn.XLOOKUP(F470,'Hồ sơ phương tiện'!$B:$B,'Hồ sơ phương tiện'!$X:$X),"")</f>
        <v>KHÔNG PHÙ HỢP</v>
      </c>
      <c r="L470" s="4" t="str">
        <f t="shared" si="17"/>
        <v>KHÔNG CHO PHÉP</v>
      </c>
    </row>
    <row r="471" spans="1:12" x14ac:dyDescent="0.3">
      <c r="A471" s="4">
        <f t="shared" si="16"/>
        <v>470</v>
      </c>
      <c r="G471" s="4">
        <f>IFERROR(_xlfn.XLOOKUP(F471,'Hồ sơ phương tiện'!$B:$B,'Hồ sơ phương tiện'!$E:$E),"")</f>
        <v>0</v>
      </c>
      <c r="J471" s="4" t="str">
        <f>IFERROR(_xlfn.XLOOKUP(F471,'Hồ sơ phương tiện'!$B:$B,'Hồ sơ phương tiện'!$N:$N),"")</f>
        <v>THIẾU</v>
      </c>
      <c r="K471" s="4" t="str">
        <f>IFERROR(_xlfn.XLOOKUP(F471,'Hồ sơ phương tiện'!$B:$B,'Hồ sơ phương tiện'!$X:$X),"")</f>
        <v>KHÔNG PHÙ HỢP</v>
      </c>
      <c r="L471" s="4" t="str">
        <f t="shared" si="17"/>
        <v>KHÔNG CHO PHÉP</v>
      </c>
    </row>
    <row r="472" spans="1:12" x14ac:dyDescent="0.3">
      <c r="A472" s="4">
        <f t="shared" si="16"/>
        <v>471</v>
      </c>
      <c r="G472" s="4">
        <f>IFERROR(_xlfn.XLOOKUP(F472,'Hồ sơ phương tiện'!$B:$B,'Hồ sơ phương tiện'!$E:$E),"")</f>
        <v>0</v>
      </c>
      <c r="J472" s="4" t="str">
        <f>IFERROR(_xlfn.XLOOKUP(F472,'Hồ sơ phương tiện'!$B:$B,'Hồ sơ phương tiện'!$N:$N),"")</f>
        <v>THIẾU</v>
      </c>
      <c r="K472" s="4" t="str">
        <f>IFERROR(_xlfn.XLOOKUP(F472,'Hồ sơ phương tiện'!$B:$B,'Hồ sơ phương tiện'!$X:$X),"")</f>
        <v>KHÔNG PHÙ HỢP</v>
      </c>
      <c r="L472" s="4" t="str">
        <f t="shared" si="17"/>
        <v>KHÔNG CHO PHÉP</v>
      </c>
    </row>
    <row r="473" spans="1:12" x14ac:dyDescent="0.3">
      <c r="A473" s="4">
        <f t="shared" si="16"/>
        <v>472</v>
      </c>
      <c r="G473" s="4">
        <f>IFERROR(_xlfn.XLOOKUP(F473,'Hồ sơ phương tiện'!$B:$B,'Hồ sơ phương tiện'!$E:$E),"")</f>
        <v>0</v>
      </c>
      <c r="J473" s="4" t="str">
        <f>IFERROR(_xlfn.XLOOKUP(F473,'Hồ sơ phương tiện'!$B:$B,'Hồ sơ phương tiện'!$N:$N),"")</f>
        <v>THIẾU</v>
      </c>
      <c r="K473" s="4" t="str">
        <f>IFERROR(_xlfn.XLOOKUP(F473,'Hồ sơ phương tiện'!$B:$B,'Hồ sơ phương tiện'!$X:$X),"")</f>
        <v>KHÔNG PHÙ HỢP</v>
      </c>
      <c r="L473" s="4" t="str">
        <f t="shared" si="17"/>
        <v>KHÔNG CHO PHÉP</v>
      </c>
    </row>
    <row r="474" spans="1:12" x14ac:dyDescent="0.3">
      <c r="A474" s="4">
        <f t="shared" si="16"/>
        <v>473</v>
      </c>
      <c r="G474" s="4">
        <f>IFERROR(_xlfn.XLOOKUP(F474,'Hồ sơ phương tiện'!$B:$B,'Hồ sơ phương tiện'!$E:$E),"")</f>
        <v>0</v>
      </c>
      <c r="J474" s="4" t="str">
        <f>IFERROR(_xlfn.XLOOKUP(F474,'Hồ sơ phương tiện'!$B:$B,'Hồ sơ phương tiện'!$N:$N),"")</f>
        <v>THIẾU</v>
      </c>
      <c r="K474" s="4" t="str">
        <f>IFERROR(_xlfn.XLOOKUP(F474,'Hồ sơ phương tiện'!$B:$B,'Hồ sơ phương tiện'!$X:$X),"")</f>
        <v>KHÔNG PHÙ HỢP</v>
      </c>
      <c r="L474" s="4" t="str">
        <f t="shared" si="17"/>
        <v>KHÔNG CHO PHÉP</v>
      </c>
    </row>
    <row r="475" spans="1:12" x14ac:dyDescent="0.3">
      <c r="A475" s="4">
        <f t="shared" si="16"/>
        <v>474</v>
      </c>
      <c r="G475" s="4">
        <f>IFERROR(_xlfn.XLOOKUP(F475,'Hồ sơ phương tiện'!$B:$B,'Hồ sơ phương tiện'!$E:$E),"")</f>
        <v>0</v>
      </c>
      <c r="J475" s="4" t="str">
        <f>IFERROR(_xlfn.XLOOKUP(F475,'Hồ sơ phương tiện'!$B:$B,'Hồ sơ phương tiện'!$N:$N),"")</f>
        <v>THIẾU</v>
      </c>
      <c r="K475" s="4" t="str">
        <f>IFERROR(_xlfn.XLOOKUP(F475,'Hồ sơ phương tiện'!$B:$B,'Hồ sơ phương tiện'!$X:$X),"")</f>
        <v>KHÔNG PHÙ HỢP</v>
      </c>
      <c r="L475" s="4" t="str">
        <f t="shared" si="17"/>
        <v>KHÔNG CHO PHÉP</v>
      </c>
    </row>
    <row r="476" spans="1:12" x14ac:dyDescent="0.3">
      <c r="A476" s="4">
        <f t="shared" si="16"/>
        <v>475</v>
      </c>
      <c r="G476" s="4">
        <f>IFERROR(_xlfn.XLOOKUP(F476,'Hồ sơ phương tiện'!$B:$B,'Hồ sơ phương tiện'!$E:$E),"")</f>
        <v>0</v>
      </c>
      <c r="J476" s="4" t="str">
        <f>IFERROR(_xlfn.XLOOKUP(F476,'Hồ sơ phương tiện'!$B:$B,'Hồ sơ phương tiện'!$N:$N),"")</f>
        <v>THIẾU</v>
      </c>
      <c r="K476" s="4" t="str">
        <f>IFERROR(_xlfn.XLOOKUP(F476,'Hồ sơ phương tiện'!$B:$B,'Hồ sơ phương tiện'!$X:$X),"")</f>
        <v>KHÔNG PHÙ HỢP</v>
      </c>
      <c r="L476" s="4" t="str">
        <f t="shared" si="17"/>
        <v>KHÔNG CHO PHÉP</v>
      </c>
    </row>
    <row r="477" spans="1:12" x14ac:dyDescent="0.3">
      <c r="A477" s="4">
        <f t="shared" si="16"/>
        <v>476</v>
      </c>
      <c r="G477" s="4">
        <f>IFERROR(_xlfn.XLOOKUP(F477,'Hồ sơ phương tiện'!$B:$B,'Hồ sơ phương tiện'!$E:$E),"")</f>
        <v>0</v>
      </c>
      <c r="J477" s="4" t="str">
        <f>IFERROR(_xlfn.XLOOKUP(F477,'Hồ sơ phương tiện'!$B:$B,'Hồ sơ phương tiện'!$N:$N),"")</f>
        <v>THIẾU</v>
      </c>
      <c r="K477" s="4" t="str">
        <f>IFERROR(_xlfn.XLOOKUP(F477,'Hồ sơ phương tiện'!$B:$B,'Hồ sơ phương tiện'!$X:$X),"")</f>
        <v>KHÔNG PHÙ HỢP</v>
      </c>
      <c r="L477" s="4" t="str">
        <f t="shared" si="17"/>
        <v>KHÔNG CHO PHÉP</v>
      </c>
    </row>
    <row r="478" spans="1:12" x14ac:dyDescent="0.3">
      <c r="A478" s="4">
        <f t="shared" si="16"/>
        <v>477</v>
      </c>
      <c r="G478" s="4">
        <f>IFERROR(_xlfn.XLOOKUP(F478,'Hồ sơ phương tiện'!$B:$B,'Hồ sơ phương tiện'!$E:$E),"")</f>
        <v>0</v>
      </c>
      <c r="J478" s="4" t="str">
        <f>IFERROR(_xlfn.XLOOKUP(F478,'Hồ sơ phương tiện'!$B:$B,'Hồ sơ phương tiện'!$N:$N),"")</f>
        <v>THIẾU</v>
      </c>
      <c r="K478" s="4" t="str">
        <f>IFERROR(_xlfn.XLOOKUP(F478,'Hồ sơ phương tiện'!$B:$B,'Hồ sơ phương tiện'!$X:$X),"")</f>
        <v>KHÔNG PHÙ HỢP</v>
      </c>
      <c r="L478" s="4" t="str">
        <f t="shared" si="17"/>
        <v>KHÔNG CHO PHÉP</v>
      </c>
    </row>
    <row r="479" spans="1:12" x14ac:dyDescent="0.3">
      <c r="A479" s="4">
        <f t="shared" si="16"/>
        <v>478</v>
      </c>
      <c r="G479" s="4">
        <f>IFERROR(_xlfn.XLOOKUP(F479,'Hồ sơ phương tiện'!$B:$B,'Hồ sơ phương tiện'!$E:$E),"")</f>
        <v>0</v>
      </c>
      <c r="J479" s="4" t="str">
        <f>IFERROR(_xlfn.XLOOKUP(F479,'Hồ sơ phương tiện'!$B:$B,'Hồ sơ phương tiện'!$N:$N),"")</f>
        <v>THIẾU</v>
      </c>
      <c r="K479" s="4" t="str">
        <f>IFERROR(_xlfn.XLOOKUP(F479,'Hồ sơ phương tiện'!$B:$B,'Hồ sơ phương tiện'!$X:$X),"")</f>
        <v>KHÔNG PHÙ HỢP</v>
      </c>
      <c r="L479" s="4" t="str">
        <f t="shared" si="17"/>
        <v>KHÔNG CHO PHÉP</v>
      </c>
    </row>
    <row r="480" spans="1:12" x14ac:dyDescent="0.3">
      <c r="A480" s="4">
        <f t="shared" si="16"/>
        <v>479</v>
      </c>
      <c r="G480" s="4">
        <f>IFERROR(_xlfn.XLOOKUP(F480,'Hồ sơ phương tiện'!$B:$B,'Hồ sơ phương tiện'!$E:$E),"")</f>
        <v>0</v>
      </c>
      <c r="J480" s="4" t="str">
        <f>IFERROR(_xlfn.XLOOKUP(F480,'Hồ sơ phương tiện'!$B:$B,'Hồ sơ phương tiện'!$N:$N),"")</f>
        <v>THIẾU</v>
      </c>
      <c r="K480" s="4" t="str">
        <f>IFERROR(_xlfn.XLOOKUP(F480,'Hồ sơ phương tiện'!$B:$B,'Hồ sơ phương tiện'!$X:$X),"")</f>
        <v>KHÔNG PHÙ HỢP</v>
      </c>
      <c r="L480" s="4" t="str">
        <f t="shared" si="17"/>
        <v>KHÔNG CHO PHÉP</v>
      </c>
    </row>
    <row r="481" spans="1:12" x14ac:dyDescent="0.3">
      <c r="A481" s="4">
        <f t="shared" si="16"/>
        <v>480</v>
      </c>
      <c r="G481" s="4">
        <f>IFERROR(_xlfn.XLOOKUP(F481,'Hồ sơ phương tiện'!$B:$B,'Hồ sơ phương tiện'!$E:$E),"")</f>
        <v>0</v>
      </c>
      <c r="J481" s="4" t="str">
        <f>IFERROR(_xlfn.XLOOKUP(F481,'Hồ sơ phương tiện'!$B:$B,'Hồ sơ phương tiện'!$N:$N),"")</f>
        <v>THIẾU</v>
      </c>
      <c r="K481" s="4" t="str">
        <f>IFERROR(_xlfn.XLOOKUP(F481,'Hồ sơ phương tiện'!$B:$B,'Hồ sơ phương tiện'!$X:$X),"")</f>
        <v>KHÔNG PHÙ HỢP</v>
      </c>
      <c r="L481" s="4" t="str">
        <f t="shared" si="17"/>
        <v>KHÔNG CHO PHÉP</v>
      </c>
    </row>
    <row r="482" spans="1:12" x14ac:dyDescent="0.3">
      <c r="A482" s="4">
        <f t="shared" si="16"/>
        <v>481</v>
      </c>
      <c r="G482" s="4">
        <f>IFERROR(_xlfn.XLOOKUP(F482,'Hồ sơ phương tiện'!$B:$B,'Hồ sơ phương tiện'!$E:$E),"")</f>
        <v>0</v>
      </c>
      <c r="J482" s="4" t="str">
        <f>IFERROR(_xlfn.XLOOKUP(F482,'Hồ sơ phương tiện'!$B:$B,'Hồ sơ phương tiện'!$N:$N),"")</f>
        <v>THIẾU</v>
      </c>
      <c r="K482" s="4" t="str">
        <f>IFERROR(_xlfn.XLOOKUP(F482,'Hồ sơ phương tiện'!$B:$B,'Hồ sơ phương tiện'!$X:$X),"")</f>
        <v>KHÔNG PHÙ HỢP</v>
      </c>
      <c r="L482" s="4" t="str">
        <f t="shared" si="17"/>
        <v>KHÔNG CHO PHÉP</v>
      </c>
    </row>
    <row r="483" spans="1:12" x14ac:dyDescent="0.3">
      <c r="A483" s="4">
        <f t="shared" si="16"/>
        <v>482</v>
      </c>
      <c r="G483" s="4">
        <f>IFERROR(_xlfn.XLOOKUP(F483,'Hồ sơ phương tiện'!$B:$B,'Hồ sơ phương tiện'!$E:$E),"")</f>
        <v>0</v>
      </c>
      <c r="J483" s="4" t="str">
        <f>IFERROR(_xlfn.XLOOKUP(F483,'Hồ sơ phương tiện'!$B:$B,'Hồ sơ phương tiện'!$N:$N),"")</f>
        <v>THIẾU</v>
      </c>
      <c r="K483" s="4" t="str">
        <f>IFERROR(_xlfn.XLOOKUP(F483,'Hồ sơ phương tiện'!$B:$B,'Hồ sơ phương tiện'!$X:$X),"")</f>
        <v>KHÔNG PHÙ HỢP</v>
      </c>
      <c r="L483" s="4" t="str">
        <f t="shared" si="17"/>
        <v>KHÔNG CHO PHÉP</v>
      </c>
    </row>
    <row r="484" spans="1:12" x14ac:dyDescent="0.3">
      <c r="A484" s="4">
        <f t="shared" si="16"/>
        <v>483</v>
      </c>
      <c r="G484" s="4">
        <f>IFERROR(_xlfn.XLOOKUP(F484,'Hồ sơ phương tiện'!$B:$B,'Hồ sơ phương tiện'!$E:$E),"")</f>
        <v>0</v>
      </c>
      <c r="J484" s="4" t="str">
        <f>IFERROR(_xlfn.XLOOKUP(F484,'Hồ sơ phương tiện'!$B:$B,'Hồ sơ phương tiện'!$N:$N),"")</f>
        <v>THIẾU</v>
      </c>
      <c r="K484" s="4" t="str">
        <f>IFERROR(_xlfn.XLOOKUP(F484,'Hồ sơ phương tiện'!$B:$B,'Hồ sơ phương tiện'!$X:$X),"")</f>
        <v>KHÔNG PHÙ HỢP</v>
      </c>
      <c r="L484" s="4" t="str">
        <f t="shared" si="17"/>
        <v>KHÔNG CHO PHÉP</v>
      </c>
    </row>
    <row r="485" spans="1:12" x14ac:dyDescent="0.3">
      <c r="A485" s="4">
        <f t="shared" si="16"/>
        <v>484</v>
      </c>
      <c r="G485" s="4">
        <f>IFERROR(_xlfn.XLOOKUP(F485,'Hồ sơ phương tiện'!$B:$B,'Hồ sơ phương tiện'!$E:$E),"")</f>
        <v>0</v>
      </c>
      <c r="J485" s="4" t="str">
        <f>IFERROR(_xlfn.XLOOKUP(F485,'Hồ sơ phương tiện'!$B:$B,'Hồ sơ phương tiện'!$N:$N),"")</f>
        <v>THIẾU</v>
      </c>
      <c r="K485" s="4" t="str">
        <f>IFERROR(_xlfn.XLOOKUP(F485,'Hồ sơ phương tiện'!$B:$B,'Hồ sơ phương tiện'!$X:$X),"")</f>
        <v>KHÔNG PHÙ HỢP</v>
      </c>
      <c r="L485" s="4" t="str">
        <f t="shared" si="17"/>
        <v>KHÔNG CHO PHÉP</v>
      </c>
    </row>
    <row r="486" spans="1:12" x14ac:dyDescent="0.3">
      <c r="A486" s="4">
        <f t="shared" si="16"/>
        <v>485</v>
      </c>
      <c r="G486" s="4">
        <f>IFERROR(_xlfn.XLOOKUP(F486,'Hồ sơ phương tiện'!$B:$B,'Hồ sơ phương tiện'!$E:$E),"")</f>
        <v>0</v>
      </c>
      <c r="J486" s="4" t="str">
        <f>IFERROR(_xlfn.XLOOKUP(F486,'Hồ sơ phương tiện'!$B:$B,'Hồ sơ phương tiện'!$N:$N),"")</f>
        <v>THIẾU</v>
      </c>
      <c r="K486" s="4" t="str">
        <f>IFERROR(_xlfn.XLOOKUP(F486,'Hồ sơ phương tiện'!$B:$B,'Hồ sơ phương tiện'!$X:$X),"")</f>
        <v>KHÔNG PHÙ HỢP</v>
      </c>
      <c r="L486" s="4" t="str">
        <f t="shared" si="17"/>
        <v>KHÔNG CHO PHÉP</v>
      </c>
    </row>
    <row r="487" spans="1:12" x14ac:dyDescent="0.3">
      <c r="A487" s="4">
        <f t="shared" si="16"/>
        <v>486</v>
      </c>
      <c r="G487" s="4">
        <f>IFERROR(_xlfn.XLOOKUP(F487,'Hồ sơ phương tiện'!$B:$B,'Hồ sơ phương tiện'!$E:$E),"")</f>
        <v>0</v>
      </c>
      <c r="J487" s="4" t="str">
        <f>IFERROR(_xlfn.XLOOKUP(F487,'Hồ sơ phương tiện'!$B:$B,'Hồ sơ phương tiện'!$N:$N),"")</f>
        <v>THIẾU</v>
      </c>
      <c r="K487" s="4" t="str">
        <f>IFERROR(_xlfn.XLOOKUP(F487,'Hồ sơ phương tiện'!$B:$B,'Hồ sơ phương tiện'!$X:$X),"")</f>
        <v>KHÔNG PHÙ HỢP</v>
      </c>
      <c r="L487" s="4" t="str">
        <f t="shared" si="17"/>
        <v>KHÔNG CHO PHÉP</v>
      </c>
    </row>
    <row r="488" spans="1:12" x14ac:dyDescent="0.3">
      <c r="A488" s="4">
        <f t="shared" si="16"/>
        <v>487</v>
      </c>
      <c r="G488" s="4">
        <f>IFERROR(_xlfn.XLOOKUP(F488,'Hồ sơ phương tiện'!$B:$B,'Hồ sơ phương tiện'!$E:$E),"")</f>
        <v>0</v>
      </c>
      <c r="J488" s="4" t="str">
        <f>IFERROR(_xlfn.XLOOKUP(F488,'Hồ sơ phương tiện'!$B:$B,'Hồ sơ phương tiện'!$N:$N),"")</f>
        <v>THIẾU</v>
      </c>
      <c r="K488" s="4" t="str">
        <f>IFERROR(_xlfn.XLOOKUP(F488,'Hồ sơ phương tiện'!$B:$B,'Hồ sơ phương tiện'!$X:$X),"")</f>
        <v>KHÔNG PHÙ HỢP</v>
      </c>
      <c r="L488" s="4" t="str">
        <f t="shared" si="17"/>
        <v>KHÔNG CHO PHÉP</v>
      </c>
    </row>
    <row r="489" spans="1:12" x14ac:dyDescent="0.3">
      <c r="A489" s="4">
        <f t="shared" si="16"/>
        <v>488</v>
      </c>
      <c r="G489" s="4">
        <f>IFERROR(_xlfn.XLOOKUP(F489,'Hồ sơ phương tiện'!$B:$B,'Hồ sơ phương tiện'!$E:$E),"")</f>
        <v>0</v>
      </c>
      <c r="J489" s="4" t="str">
        <f>IFERROR(_xlfn.XLOOKUP(F489,'Hồ sơ phương tiện'!$B:$B,'Hồ sơ phương tiện'!$N:$N),"")</f>
        <v>THIẾU</v>
      </c>
      <c r="K489" s="4" t="str">
        <f>IFERROR(_xlfn.XLOOKUP(F489,'Hồ sơ phương tiện'!$B:$B,'Hồ sơ phương tiện'!$X:$X),"")</f>
        <v>KHÔNG PHÙ HỢP</v>
      </c>
      <c r="L489" s="4" t="str">
        <f t="shared" si="17"/>
        <v>KHÔNG CHO PHÉP</v>
      </c>
    </row>
    <row r="490" spans="1:12" x14ac:dyDescent="0.3">
      <c r="A490" s="4">
        <f t="shared" si="16"/>
        <v>489</v>
      </c>
      <c r="G490" s="4">
        <f>IFERROR(_xlfn.XLOOKUP(F490,'Hồ sơ phương tiện'!$B:$B,'Hồ sơ phương tiện'!$E:$E),"")</f>
        <v>0</v>
      </c>
      <c r="J490" s="4" t="str">
        <f>IFERROR(_xlfn.XLOOKUP(F490,'Hồ sơ phương tiện'!$B:$B,'Hồ sơ phương tiện'!$N:$N),"")</f>
        <v>THIẾU</v>
      </c>
      <c r="K490" s="4" t="str">
        <f>IFERROR(_xlfn.XLOOKUP(F490,'Hồ sơ phương tiện'!$B:$B,'Hồ sơ phương tiện'!$X:$X),"")</f>
        <v>KHÔNG PHÙ HỢP</v>
      </c>
      <c r="L490" s="4" t="str">
        <f t="shared" si="17"/>
        <v>KHÔNG CHO PHÉP</v>
      </c>
    </row>
    <row r="491" spans="1:12" x14ac:dyDescent="0.3">
      <c r="A491" s="4">
        <f t="shared" si="16"/>
        <v>490</v>
      </c>
      <c r="G491" s="4">
        <f>IFERROR(_xlfn.XLOOKUP(F491,'Hồ sơ phương tiện'!$B:$B,'Hồ sơ phương tiện'!$E:$E),"")</f>
        <v>0</v>
      </c>
      <c r="J491" s="4" t="str">
        <f>IFERROR(_xlfn.XLOOKUP(F491,'Hồ sơ phương tiện'!$B:$B,'Hồ sơ phương tiện'!$N:$N),"")</f>
        <v>THIẾU</v>
      </c>
      <c r="K491" s="4" t="str">
        <f>IFERROR(_xlfn.XLOOKUP(F491,'Hồ sơ phương tiện'!$B:$B,'Hồ sơ phương tiện'!$X:$X),"")</f>
        <v>KHÔNG PHÙ HỢP</v>
      </c>
      <c r="L491" s="4" t="str">
        <f t="shared" si="17"/>
        <v>KHÔNG CHO PHÉP</v>
      </c>
    </row>
    <row r="492" spans="1:12" x14ac:dyDescent="0.3">
      <c r="A492" s="4">
        <f t="shared" si="16"/>
        <v>491</v>
      </c>
      <c r="G492" s="4">
        <f>IFERROR(_xlfn.XLOOKUP(F492,'Hồ sơ phương tiện'!$B:$B,'Hồ sơ phương tiện'!$E:$E),"")</f>
        <v>0</v>
      </c>
      <c r="J492" s="4" t="str">
        <f>IFERROR(_xlfn.XLOOKUP(F492,'Hồ sơ phương tiện'!$B:$B,'Hồ sơ phương tiện'!$N:$N),"")</f>
        <v>THIẾU</v>
      </c>
      <c r="K492" s="4" t="str">
        <f>IFERROR(_xlfn.XLOOKUP(F492,'Hồ sơ phương tiện'!$B:$B,'Hồ sơ phương tiện'!$X:$X),"")</f>
        <v>KHÔNG PHÙ HỢP</v>
      </c>
      <c r="L492" s="4" t="str">
        <f t="shared" si="17"/>
        <v>KHÔNG CHO PHÉP</v>
      </c>
    </row>
    <row r="493" spans="1:12" x14ac:dyDescent="0.3">
      <c r="A493" s="4">
        <f t="shared" si="16"/>
        <v>492</v>
      </c>
      <c r="G493" s="4">
        <f>IFERROR(_xlfn.XLOOKUP(F493,'Hồ sơ phương tiện'!$B:$B,'Hồ sơ phương tiện'!$E:$E),"")</f>
        <v>0</v>
      </c>
      <c r="J493" s="4" t="str">
        <f>IFERROR(_xlfn.XLOOKUP(F493,'Hồ sơ phương tiện'!$B:$B,'Hồ sơ phương tiện'!$N:$N),"")</f>
        <v>THIẾU</v>
      </c>
      <c r="K493" s="4" t="str">
        <f>IFERROR(_xlfn.XLOOKUP(F493,'Hồ sơ phương tiện'!$B:$B,'Hồ sơ phương tiện'!$X:$X),"")</f>
        <v>KHÔNG PHÙ HỢP</v>
      </c>
      <c r="L493" s="4" t="str">
        <f t="shared" si="17"/>
        <v>KHÔNG CHO PHÉP</v>
      </c>
    </row>
    <row r="494" spans="1:12" x14ac:dyDescent="0.3">
      <c r="A494" s="4">
        <f t="shared" si="16"/>
        <v>493</v>
      </c>
      <c r="G494" s="4">
        <f>IFERROR(_xlfn.XLOOKUP(F494,'Hồ sơ phương tiện'!$B:$B,'Hồ sơ phương tiện'!$E:$E),"")</f>
        <v>0</v>
      </c>
      <c r="J494" s="4" t="str">
        <f>IFERROR(_xlfn.XLOOKUP(F494,'Hồ sơ phương tiện'!$B:$B,'Hồ sơ phương tiện'!$N:$N),"")</f>
        <v>THIẾU</v>
      </c>
      <c r="K494" s="4" t="str">
        <f>IFERROR(_xlfn.XLOOKUP(F494,'Hồ sơ phương tiện'!$B:$B,'Hồ sơ phương tiện'!$X:$X),"")</f>
        <v>KHÔNG PHÙ HỢP</v>
      </c>
      <c r="L494" s="4" t="str">
        <f t="shared" si="17"/>
        <v>KHÔNG CHO PHÉP</v>
      </c>
    </row>
    <row r="495" spans="1:12" x14ac:dyDescent="0.3">
      <c r="A495" s="4">
        <f t="shared" si="16"/>
        <v>494</v>
      </c>
      <c r="G495" s="4">
        <f>IFERROR(_xlfn.XLOOKUP(F495,'Hồ sơ phương tiện'!$B:$B,'Hồ sơ phương tiện'!$E:$E),"")</f>
        <v>0</v>
      </c>
      <c r="J495" s="4" t="str">
        <f>IFERROR(_xlfn.XLOOKUP(F495,'Hồ sơ phương tiện'!$B:$B,'Hồ sơ phương tiện'!$N:$N),"")</f>
        <v>THIẾU</v>
      </c>
      <c r="K495" s="4" t="str">
        <f>IFERROR(_xlfn.XLOOKUP(F495,'Hồ sơ phương tiện'!$B:$B,'Hồ sơ phương tiện'!$X:$X),"")</f>
        <v>KHÔNG PHÙ HỢP</v>
      </c>
      <c r="L495" s="4" t="str">
        <f t="shared" si="17"/>
        <v>KHÔNG CHO PHÉP</v>
      </c>
    </row>
    <row r="496" spans="1:12" x14ac:dyDescent="0.3">
      <c r="A496" s="4">
        <f t="shared" si="16"/>
        <v>495</v>
      </c>
      <c r="G496" s="4">
        <f>IFERROR(_xlfn.XLOOKUP(F496,'Hồ sơ phương tiện'!$B:$B,'Hồ sơ phương tiện'!$E:$E),"")</f>
        <v>0</v>
      </c>
      <c r="J496" s="4" t="str">
        <f>IFERROR(_xlfn.XLOOKUP(F496,'Hồ sơ phương tiện'!$B:$B,'Hồ sơ phương tiện'!$N:$N),"")</f>
        <v>THIẾU</v>
      </c>
      <c r="K496" s="4" t="str">
        <f>IFERROR(_xlfn.XLOOKUP(F496,'Hồ sơ phương tiện'!$B:$B,'Hồ sơ phương tiện'!$X:$X),"")</f>
        <v>KHÔNG PHÙ HỢP</v>
      </c>
      <c r="L496" s="4" t="str">
        <f t="shared" si="17"/>
        <v>KHÔNG CHO PHÉP</v>
      </c>
    </row>
    <row r="497" spans="1:12" x14ac:dyDescent="0.3">
      <c r="A497" s="4">
        <f t="shared" si="16"/>
        <v>496</v>
      </c>
      <c r="G497" s="4">
        <f>IFERROR(_xlfn.XLOOKUP(F497,'Hồ sơ phương tiện'!$B:$B,'Hồ sơ phương tiện'!$E:$E),"")</f>
        <v>0</v>
      </c>
      <c r="J497" s="4" t="str">
        <f>IFERROR(_xlfn.XLOOKUP(F497,'Hồ sơ phương tiện'!$B:$B,'Hồ sơ phương tiện'!$N:$N),"")</f>
        <v>THIẾU</v>
      </c>
      <c r="K497" s="4" t="str">
        <f>IFERROR(_xlfn.XLOOKUP(F497,'Hồ sơ phương tiện'!$B:$B,'Hồ sơ phương tiện'!$X:$X),"")</f>
        <v>KHÔNG PHÙ HỢP</v>
      </c>
      <c r="L497" s="4" t="str">
        <f t="shared" si="17"/>
        <v>KHÔNG CHO PHÉP</v>
      </c>
    </row>
    <row r="498" spans="1:12" x14ac:dyDescent="0.3">
      <c r="A498" s="4">
        <f t="shared" si="16"/>
        <v>497</v>
      </c>
      <c r="G498" s="4">
        <f>IFERROR(_xlfn.XLOOKUP(F498,'Hồ sơ phương tiện'!$B:$B,'Hồ sơ phương tiện'!$E:$E),"")</f>
        <v>0</v>
      </c>
      <c r="J498" s="4" t="str">
        <f>IFERROR(_xlfn.XLOOKUP(F498,'Hồ sơ phương tiện'!$B:$B,'Hồ sơ phương tiện'!$N:$N),"")</f>
        <v>THIẾU</v>
      </c>
      <c r="K498" s="4" t="str">
        <f>IFERROR(_xlfn.XLOOKUP(F498,'Hồ sơ phương tiện'!$B:$B,'Hồ sơ phương tiện'!$X:$X),"")</f>
        <v>KHÔNG PHÙ HỢP</v>
      </c>
      <c r="L498" s="4" t="str">
        <f t="shared" si="17"/>
        <v>KHÔNG CHO PHÉP</v>
      </c>
    </row>
    <row r="499" spans="1:12" x14ac:dyDescent="0.3">
      <c r="A499" s="4">
        <f t="shared" si="16"/>
        <v>498</v>
      </c>
      <c r="G499" s="4">
        <f>IFERROR(_xlfn.XLOOKUP(F499,'Hồ sơ phương tiện'!$B:$B,'Hồ sơ phương tiện'!$E:$E),"")</f>
        <v>0</v>
      </c>
      <c r="J499" s="4" t="str">
        <f>IFERROR(_xlfn.XLOOKUP(F499,'Hồ sơ phương tiện'!$B:$B,'Hồ sơ phương tiện'!$N:$N),"")</f>
        <v>THIẾU</v>
      </c>
      <c r="K499" s="4" t="str">
        <f>IFERROR(_xlfn.XLOOKUP(F499,'Hồ sơ phương tiện'!$B:$B,'Hồ sơ phương tiện'!$X:$X),"")</f>
        <v>KHÔNG PHÙ HỢP</v>
      </c>
      <c r="L499" s="4" t="str">
        <f t="shared" si="17"/>
        <v>KHÔNG CHO PHÉP</v>
      </c>
    </row>
    <row r="500" spans="1:12" x14ac:dyDescent="0.3">
      <c r="A500" s="4">
        <f t="shared" si="16"/>
        <v>499</v>
      </c>
      <c r="G500" s="4">
        <f>IFERROR(_xlfn.XLOOKUP(F500,'Hồ sơ phương tiện'!$B:$B,'Hồ sơ phương tiện'!$E:$E),"")</f>
        <v>0</v>
      </c>
      <c r="J500" s="4" t="str">
        <f>IFERROR(_xlfn.XLOOKUP(F500,'Hồ sơ phương tiện'!$B:$B,'Hồ sơ phương tiện'!$N:$N),"")</f>
        <v>THIẾU</v>
      </c>
      <c r="K500" s="4" t="str">
        <f>IFERROR(_xlfn.XLOOKUP(F500,'Hồ sơ phương tiện'!$B:$B,'Hồ sơ phương tiện'!$X:$X),"")</f>
        <v>KHÔNG PHÙ HỢP</v>
      </c>
      <c r="L500" s="4" t="str">
        <f t="shared" si="17"/>
        <v>KHÔNG CHO PHÉP</v>
      </c>
    </row>
  </sheetData>
  <conditionalFormatting sqref="K1:K1048576">
    <cfRule type="cellIs" dxfId="2" priority="3" operator="equal">
      <formula>"KHÔNG PHÙ HỢP"</formula>
    </cfRule>
  </conditionalFormatting>
  <conditionalFormatting sqref="L1:L1048576">
    <cfRule type="cellIs" dxfId="1" priority="1" operator="equal">
      <formula>"KHÔNG CHO PHÉP"</formula>
    </cfRule>
    <cfRule type="cellIs" dxfId="0" priority="2" operator="equal">
      <formula>"KHÔNG ĐỦ HỒ SƠ"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66.5546875" customWidth="1"/>
    <col min="2" max="2" width="34.77734375" customWidth="1"/>
  </cols>
  <sheetData>
    <row r="1" spans="1:2" ht="33.450000000000003" customHeight="1" x14ac:dyDescent="0.3">
      <c r="A1" s="13" t="s">
        <v>30</v>
      </c>
      <c r="B1" s="13"/>
    </row>
    <row r="2" spans="1:2" ht="18" customHeight="1" x14ac:dyDescent="0.3">
      <c r="A2" s="12" t="s">
        <v>26</v>
      </c>
      <c r="B2" s="6">
        <f>COUNTIF('Hồ sơ phương tiện'!N:N,"ĐỦ")</f>
        <v>7</v>
      </c>
    </row>
    <row r="3" spans="1:2" ht="16.95" customHeight="1" x14ac:dyDescent="0.3">
      <c r="A3" s="12" t="s">
        <v>27</v>
      </c>
      <c r="B3" s="6">
        <f>COUNTIF('Hồ sơ phương tiện'!N:N,"THIẾU")</f>
        <v>92</v>
      </c>
    </row>
    <row r="4" spans="1:2" ht="17.55" customHeight="1" x14ac:dyDescent="0.3">
      <c r="A4" s="12" t="s">
        <v>28</v>
      </c>
      <c r="B4" s="6">
        <f>COUNTA('Nhật ký vào, rời'!B2:B500)</f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Hồ sơ phương tiện</vt:lpstr>
      <vt:lpstr>Nhật ký vào, rời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TVPL-NgocAnh</cp:lastModifiedBy>
  <dcterms:created xsi:type="dcterms:W3CDTF">2026-07-09T04:19:15Z</dcterms:created>
  <dcterms:modified xsi:type="dcterms:W3CDTF">2026-07-15T15:18:20Z</dcterms:modified>
</cp:coreProperties>
</file>