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TVPL-NgocAnh\Downloads\"/>
    </mc:Choice>
  </mc:AlternateContent>
  <xr:revisionPtr revIDLastSave="0" documentId="8_{F72D3F7A-3C59-4BBA-8DD7-E69F703075D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ồ sơ phương tiện" sheetId="2" r:id="rId1"/>
    <sheet name="Nhật ký vào, rời" sheetId="4" r:id="rId2"/>
    <sheet name="Dashboard" sheetId="6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4" l="1"/>
  <c r="A3" i="4"/>
  <c r="A4" i="4"/>
  <c r="A5" i="4"/>
  <c r="G2" i="4"/>
  <c r="G3" i="4"/>
  <c r="G4" i="4"/>
  <c r="G5" i="4"/>
  <c r="N2" i="2"/>
  <c r="N3" i="2"/>
  <c r="N4" i="2"/>
  <c r="N5" i="2"/>
  <c r="N6" i="2"/>
  <c r="N7" i="2"/>
  <c r="N8" i="2"/>
  <c r="A5" i="2"/>
  <c r="A6" i="2"/>
  <c r="A7" i="2"/>
  <c r="A8" i="2"/>
  <c r="A2" i="2"/>
  <c r="A3" i="2"/>
  <c r="A4" i="2"/>
  <c r="A6" i="4"/>
  <c r="A7" i="4"/>
  <c r="A8" i="4"/>
  <c r="G6" i="4"/>
  <c r="G7" i="4"/>
  <c r="G8" i="4"/>
  <c r="X3" i="2"/>
  <c r="X4" i="2"/>
  <c r="X5" i="2"/>
  <c r="X6" i="2"/>
  <c r="X7" i="2"/>
  <c r="X8" i="2"/>
  <c r="X2" i="2"/>
  <c r="K3" i="4" l="1"/>
  <c r="K4" i="4"/>
  <c r="K7" i="4"/>
  <c r="K8" i="4"/>
  <c r="K5" i="4"/>
  <c r="K6" i="4"/>
  <c r="B4" i="6"/>
  <c r="U3" i="2"/>
  <c r="U4" i="2"/>
  <c r="U5" i="2"/>
  <c r="U6" i="2"/>
  <c r="U7" i="2"/>
  <c r="U8" i="2"/>
  <c r="U2" i="2"/>
  <c r="S3" i="2"/>
  <c r="S4" i="2"/>
  <c r="S5" i="2"/>
  <c r="S6" i="2"/>
  <c r="S7" i="2"/>
  <c r="S8" i="2"/>
  <c r="S2" i="2"/>
  <c r="Q8" i="2"/>
  <c r="P8" i="2"/>
  <c r="O8" i="2"/>
  <c r="Q7" i="2"/>
  <c r="P7" i="2"/>
  <c r="O7" i="2"/>
  <c r="Q6" i="2"/>
  <c r="P6" i="2"/>
  <c r="O6" i="2"/>
  <c r="Q5" i="2"/>
  <c r="P5" i="2"/>
  <c r="O5" i="2"/>
  <c r="J4" i="4"/>
  <c r="L4" i="4" s="1"/>
  <c r="Q4" i="2"/>
  <c r="P4" i="2"/>
  <c r="O4" i="2"/>
  <c r="J3" i="4"/>
  <c r="Q3" i="2"/>
  <c r="P3" i="2"/>
  <c r="O3" i="2"/>
  <c r="Q2" i="2"/>
  <c r="P2" i="2"/>
  <c r="O2" i="2"/>
  <c r="J8" i="4" l="1"/>
  <c r="L8" i="4" s="1"/>
  <c r="J5" i="4"/>
  <c r="L5" i="4" s="1"/>
  <c r="J6" i="4"/>
  <c r="L6" i="4" s="1"/>
  <c r="J7" i="4"/>
  <c r="L7" i="4" s="1"/>
  <c r="K2" i="4"/>
  <c r="B3" i="6"/>
  <c r="J2" i="4"/>
  <c r="B2" i="6"/>
  <c r="L2" i="4" l="1"/>
  <c r="L3" i="4"/>
</calcChain>
</file>

<file path=xl/sharedStrings.xml><?xml version="1.0" encoding="utf-8"?>
<sst xmlns="http://schemas.openxmlformats.org/spreadsheetml/2006/main" count="119" uniqueCount="85">
  <si>
    <t>STT</t>
  </si>
  <si>
    <t>Tên phương tiện</t>
  </si>
  <si>
    <t>Số đăng ký</t>
  </si>
  <si>
    <t>Trọng tải (Tấn)</t>
  </si>
  <si>
    <t>Ghi chú</t>
  </si>
  <si>
    <t>GCN đăng ký</t>
  </si>
  <si>
    <t>Ngày cấp</t>
  </si>
  <si>
    <t>Hết hạn GCN</t>
  </si>
  <si>
    <t>Đăng kiểm</t>
  </si>
  <si>
    <t>Hết hạn ĐK</t>
  </si>
  <si>
    <t>Bảo hiểm</t>
  </si>
  <si>
    <t>Hết hạn BH</t>
  </si>
  <si>
    <t>Trạng thái GCN</t>
  </si>
  <si>
    <t>Trạng thái ĐK</t>
  </si>
  <si>
    <t>Trạng thái BH</t>
  </si>
  <si>
    <t>Thuyền trưởng</t>
  </si>
  <si>
    <t>Hạng</t>
  </si>
  <si>
    <t>Máy trưởng</t>
  </si>
  <si>
    <t>Thủy thủ</t>
  </si>
  <si>
    <t>Sổ danh bạ TV</t>
  </si>
  <si>
    <t>Giờ vào</t>
  </si>
  <si>
    <t>Giờ rời</t>
  </si>
  <si>
    <t>Loại hàng</t>
  </si>
  <si>
    <t>Hóa đơn/CT</t>
  </si>
  <si>
    <t>Hồ sơ PT</t>
  </si>
  <si>
    <t>Kết quả</t>
  </si>
  <si>
    <t>Hồ sơ đầy đủ</t>
  </si>
  <si>
    <t>Hồ sơ thiếu</t>
  </si>
  <si>
    <t>Lượt vào/rời</t>
  </si>
  <si>
    <t>Đủ hồ sơ</t>
  </si>
  <si>
    <t>THỐNG KÊ NHANH SỐ LƯỢNG PHƯƠNG TIỆN, HỒ SƠ ĐẦY ĐỦ/THIẾU, GIẤY TỜ HẾT HẠN,...</t>
  </si>
  <si>
    <t>Công suất (HP)</t>
  </si>
  <si>
    <t>Hồ sơ Thuyền viên</t>
  </si>
  <si>
    <t xml:space="preserve"> SG 8028</t>
  </si>
  <si>
    <t>V50-06942</t>
  </si>
  <si>
    <t>5785/ĐK</t>
  </si>
  <si>
    <t>Nguyễn Kim Ngân</t>
  </si>
  <si>
    <t>Nguyễn Hoài Thuận</t>
  </si>
  <si>
    <t>Có</t>
  </si>
  <si>
    <t>Nguyễn Quốc Dũng</t>
  </si>
  <si>
    <t>Viên Nén Gỗ</t>
  </si>
  <si>
    <t>Trạng Thái Thuyền Viên</t>
  </si>
  <si>
    <t>TG 15292</t>
  </si>
  <si>
    <t>14008/ĐK</t>
  </si>
  <si>
    <t>V63-12126</t>
  </si>
  <si>
    <t>Nguyễn Hữu Tài</t>
  </si>
  <si>
    <t>Nguyễn Thị Mộng Tuyết</t>
  </si>
  <si>
    <t>Đinh Khải An</t>
  </si>
  <si>
    <t>Ngày đến</t>
  </si>
  <si>
    <t>Ngày rời</t>
  </si>
  <si>
    <t>Lúa Mì</t>
  </si>
  <si>
    <t>TG 15769</t>
  </si>
  <si>
    <t>14473/ĐK</t>
  </si>
  <si>
    <t>VR-SII</t>
  </si>
  <si>
    <t>Nguyễn Quốc Toàn</t>
  </si>
  <si>
    <t>Lữ Thị Kiều Trang</t>
  </si>
  <si>
    <t>Nguyễn Trường Thoại</t>
  </si>
  <si>
    <t>Không</t>
  </si>
  <si>
    <t>Khai hệ thống</t>
  </si>
  <si>
    <t>SG 7749</t>
  </si>
  <si>
    <t>1803/ĐK</t>
  </si>
  <si>
    <t>V50-06581</t>
  </si>
  <si>
    <t>Phạm Hoàng Anh</t>
  </si>
  <si>
    <t>Nguyễn Thị Ngọc Thủy</t>
  </si>
  <si>
    <t>Võ Thanh Tuyên</t>
  </si>
  <si>
    <t>Viên nén</t>
  </si>
  <si>
    <t>SG 8019</t>
  </si>
  <si>
    <t>6537/ĐK</t>
  </si>
  <si>
    <t>V50-06943</t>
  </si>
  <si>
    <t>Châu Văn Tèo</t>
  </si>
  <si>
    <t>Châu Anh Tuấn</t>
  </si>
  <si>
    <t>Huỳnh Trọng Duy</t>
  </si>
  <si>
    <t>SG 8272</t>
  </si>
  <si>
    <t>1554/ĐK</t>
  </si>
  <si>
    <t>V50-07153</t>
  </si>
  <si>
    <t>Lê Văn Minh</t>
  </si>
  <si>
    <t>Đinh Thị Bình</t>
  </si>
  <si>
    <t>Nguyễn Thanh Ngọc</t>
  </si>
  <si>
    <t>SG 5798</t>
  </si>
  <si>
    <t>8604/ĐK</t>
  </si>
  <si>
    <t>V50-04515</t>
  </si>
  <si>
    <t>Không thời hạn</t>
  </si>
  <si>
    <t>Lê Hiền</t>
  </si>
  <si>
    <t>Vũ Thị Thu Hương</t>
  </si>
  <si>
    <t>Lê Vinh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</si>
</sst>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_-* #,##0_-;\-* #,##0_-;_-* &quot;-&quot;??_-;_-@_-"/>
  </numFmts>
  <fonts count="6" x14ac:knownFonts="1">
    <font>
      <sz val="11"/>
      <color theme="1"/>
      <name val="Calibri"/>
      <family val="2"/>
      <scheme val="minor"/>
    </font>
    <font>
      <b/>
      <sz val="11"/>
      <name val="Times New Roman"/>
      <family val="1"/>
      <charset val="163"/>
    </font>
    <font>
      <sz val="11"/>
      <color theme="1"/>
      <name val="Times New Roman"/>
      <family val="1"/>
      <charset val="163"/>
    </font>
    <font>
      <b/>
      <sz val="12"/>
      <color theme="1"/>
      <name val="Times New Roman"/>
      <family val="1"/>
      <charset val="163"/>
    </font>
    <font>
      <sz val="11"/>
      <color theme="1"/>
      <name val="Calibri"/>
      <family val="2"/>
      <scheme val="minor"/>
    </font>
    <font>
      <sz val="14"/>
      <color theme="1"/>
      <name val="Times New Roman"/>
      <family val="2"/>
    </font>
  </fonts>
  <fills count="4">
    <fill>
      <patternFill patternType="none"/>
    </fill>
    <fill>
      <patternFill patternType="gray125"/>
    </fill>
    <fill>
      <patternFill patternType="solid">
        <fgColor rgb="FFD9EAD3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4" fillId="0" borderId="0" applyFont="0" applyFill="0" applyBorder="0" applyAlignment="0" applyProtection="0"/>
    <xf numFmtId="0" fontId="5" fillId="0" borderId="0"/>
    <xf numFmtId="164" fontId="5" fillId="0" borderId="0" applyFont="0" applyFill="0" applyBorder="0" applyAlignment="0" applyProtection="0"/>
  </cellStyleXfs>
  <cellXfs count="13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1" xfId="0" applyFont="1" applyBorder="1"/>
    <xf numFmtId="165" fontId="2" fillId="0" borderId="1" xfId="1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20" fontId="2" fillId="0" borderId="1" xfId="0" applyNumberFormat="1" applyFont="1" applyBorder="1" applyAlignment="1">
      <alignment horizontal="center" vertical="center"/>
    </xf>
    <xf numFmtId="20" fontId="2" fillId="0" borderId="0" xfId="0" applyNumberFormat="1" applyFont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</cellXfs>
  <cellStyles count="4">
    <cellStyle name="Comma" xfId="1" builtinId="3"/>
    <cellStyle name="Comma 2" xfId="3" xr:uid="{AFC71EC9-020D-4A91-B14A-27BF8F6895B9}"/>
    <cellStyle name="Normal" xfId="0" builtinId="0"/>
    <cellStyle name="Normal 2" xfId="2" xr:uid="{CA12EABB-C967-463D-956A-C18F5738BC91}"/>
  </cellStyles>
  <dxfs count="6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8" tint="-0.24994659260841701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8"/>
  <sheetViews>
    <sheetView tabSelected="1" zoomScale="49" zoomScaleNormal="70" workbookViewId="0">
      <pane ySplit="1" topLeftCell="A2" activePane="bottomLeft" state="frozen"/>
      <selection pane="bottomLeft" activeCell="K22" sqref="K22"/>
    </sheetView>
  </sheetViews>
  <sheetFormatPr defaultColWidth="8.77734375" defaultRowHeight="14.4" x14ac:dyDescent="0.25"/>
  <cols>
    <col min="1" max="1" width="4.6640625" style="5" bestFit="1" customWidth="1"/>
    <col min="2" max="2" width="23.77734375" style="1" customWidth="1"/>
    <col min="3" max="3" width="15.44140625" style="5" customWidth="1"/>
    <col min="4" max="4" width="15.6640625" style="5" customWidth="1"/>
    <col min="5" max="5" width="16.44140625" style="5" customWidth="1"/>
    <col min="6" max="6" width="13.21875" style="5" customWidth="1"/>
    <col min="7" max="7" width="15.88671875" style="5" customWidth="1"/>
    <col min="8" max="8" width="14.5546875" style="5" customWidth="1"/>
    <col min="9" max="9" width="13.21875" style="5" customWidth="1"/>
    <col min="10" max="10" width="17.21875" style="5" customWidth="1"/>
    <col min="11" max="11" width="14.77734375" style="5" customWidth="1"/>
    <col min="12" max="12" width="13.21875" style="5" customWidth="1"/>
    <col min="13" max="13" width="13.77734375" style="5" customWidth="1"/>
    <col min="14" max="14" width="9.44140625" style="5" customWidth="1"/>
    <col min="15" max="15" width="16.88671875" style="5" customWidth="1"/>
    <col min="16" max="16" width="15.44140625" style="5" customWidth="1"/>
    <col min="17" max="17" width="15.77734375" style="5" customWidth="1"/>
    <col min="18" max="18" width="17.77734375" style="5" customWidth="1"/>
    <col min="19" max="19" width="8.77734375" style="5"/>
    <col min="20" max="20" width="21.88671875" style="5" bestFit="1" customWidth="1"/>
    <col min="21" max="21" width="8.5546875" style="5" customWidth="1"/>
    <col min="22" max="22" width="19.77734375" style="5" customWidth="1"/>
    <col min="23" max="23" width="16.33203125" style="5" customWidth="1"/>
    <col min="24" max="24" width="24.21875" style="5" customWidth="1"/>
    <col min="25" max="25" width="16.33203125" style="5" customWidth="1"/>
    <col min="26" max="26" width="22.21875" style="5" customWidth="1"/>
    <col min="27" max="16384" width="8.77734375" style="5"/>
  </cols>
  <sheetData>
    <row r="1" spans="1:26" ht="37.950000000000003" customHeight="1" x14ac:dyDescent="0.3">
      <c r="A1" s="3" t="s">
        <v>0</v>
      </c>
      <c r="B1" s="3" t="s">
        <v>1</v>
      </c>
      <c r="C1" s="3" t="s">
        <v>3</v>
      </c>
      <c r="D1" s="3" t="s">
        <v>31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6</v>
      </c>
      <c r="J1" s="3" t="s">
        <v>9</v>
      </c>
      <c r="K1" s="3" t="s">
        <v>10</v>
      </c>
      <c r="L1" s="3" t="s">
        <v>6</v>
      </c>
      <c r="M1" s="3" t="s">
        <v>11</v>
      </c>
      <c r="N1" s="3" t="s">
        <v>29</v>
      </c>
      <c r="O1" s="3" t="s">
        <v>12</v>
      </c>
      <c r="P1" s="3" t="s">
        <v>13</v>
      </c>
      <c r="Q1" s="3" t="s">
        <v>14</v>
      </c>
      <c r="R1" s="3" t="s">
        <v>15</v>
      </c>
      <c r="S1" s="3" t="s">
        <v>16</v>
      </c>
      <c r="T1" s="3" t="s">
        <v>17</v>
      </c>
      <c r="U1" s="3" t="s">
        <v>16</v>
      </c>
      <c r="V1" s="3" t="s">
        <v>18</v>
      </c>
      <c r="W1" s="3" t="s">
        <v>19</v>
      </c>
      <c r="X1" s="3" t="s">
        <v>41</v>
      </c>
      <c r="Y1" s="3" t="s">
        <v>58</v>
      </c>
      <c r="Z1" s="3" t="s">
        <v>4</v>
      </c>
    </row>
    <row r="2" spans="1:26" x14ac:dyDescent="0.3">
      <c r="A2" s="4">
        <f t="shared" ref="A2:A8" si="0">ROW()-1</f>
        <v>1</v>
      </c>
      <c r="B2" s="4" t="s">
        <v>33</v>
      </c>
      <c r="C2" s="7">
        <v>1600</v>
      </c>
      <c r="D2" s="4">
        <v>400</v>
      </c>
      <c r="E2" s="4" t="s">
        <v>35</v>
      </c>
      <c r="F2" s="8">
        <v>42893</v>
      </c>
      <c r="G2" s="4" t="s">
        <v>81</v>
      </c>
      <c r="H2" s="8" t="s">
        <v>34</v>
      </c>
      <c r="I2" s="8">
        <v>46174</v>
      </c>
      <c r="J2" s="8">
        <v>46532</v>
      </c>
      <c r="K2" s="9">
        <v>8154841</v>
      </c>
      <c r="L2" s="8">
        <v>46168</v>
      </c>
      <c r="M2" s="8">
        <v>46538</v>
      </c>
      <c r="N2" s="4" t="str">
        <f t="shared" ref="N2:N8" si="1">IF(AND(E2&lt;&gt;"",H2&lt;&gt;"",K2&lt;&gt;""),"ĐỦ","THIẾU")</f>
        <v>ĐỦ</v>
      </c>
      <c r="O2" s="4" t="str">
        <f t="shared" ref="O2:O8" ca="1" si="2">IF(G2="","",IF(G2&lt;TODAY(),"HẾT HẠN","CÒN HẠN"))</f>
        <v>CÒN HẠN</v>
      </c>
      <c r="P2" s="4" t="str">
        <f t="shared" ref="P2:P8" ca="1" si="3">IF(J2="","",IF(J2&lt;TODAY(),"HẾT HẠN","CÒN HẠN"))</f>
        <v>CÒN HẠN</v>
      </c>
      <c r="Q2" s="4" t="str">
        <f t="shared" ref="Q2:Q8" ca="1" si="4">IF(M2="","",IF(M2&lt;TODAY(),"HẾT HẠN","CÒN HẠN"))</f>
        <v>CÒN HẠN</v>
      </c>
      <c r="R2" s="4" t="s">
        <v>36</v>
      </c>
      <c r="S2" s="4" t="str">
        <f>IF(C2&gt;1000,"T1",IF(C2&gt;=500,"T2","T3"))</f>
        <v>T1</v>
      </c>
      <c r="T2" s="4" t="s">
        <v>37</v>
      </c>
      <c r="U2" s="4" t="str">
        <f>IF(D2&lt;=250,"M3",IF(D2&lt;=1000,"M2","M1"))</f>
        <v>M2</v>
      </c>
      <c r="V2" s="4" t="s">
        <v>39</v>
      </c>
      <c r="W2" s="4" t="s">
        <v>38</v>
      </c>
      <c r="X2" s="4" t="str">
        <f>IF(AND(R2&lt;&gt;"",T2&lt;&gt;"",W2="Có"),"PHÙ HỢP","KHÔNG PHÙ HỢP")</f>
        <v>PHÙ HỢP</v>
      </c>
      <c r="Y2" s="4" t="s">
        <v>38</v>
      </c>
      <c r="Z2" s="4"/>
    </row>
    <row r="3" spans="1:26" x14ac:dyDescent="0.3">
      <c r="A3" s="4">
        <f t="shared" si="0"/>
        <v>2</v>
      </c>
      <c r="B3" s="4" t="s">
        <v>42</v>
      </c>
      <c r="C3" s="7">
        <v>1290</v>
      </c>
      <c r="D3" s="4">
        <v>380</v>
      </c>
      <c r="E3" s="4" t="s">
        <v>43</v>
      </c>
      <c r="F3" s="8">
        <v>42433</v>
      </c>
      <c r="G3" s="4" t="s">
        <v>81</v>
      </c>
      <c r="H3" s="4" t="s">
        <v>44</v>
      </c>
      <c r="I3" s="8">
        <v>46108</v>
      </c>
      <c r="J3" s="8">
        <v>46473</v>
      </c>
      <c r="K3" s="4">
        <v>7342177</v>
      </c>
      <c r="L3" s="8">
        <v>46210</v>
      </c>
      <c r="M3" s="8">
        <v>46575</v>
      </c>
      <c r="N3" s="4" t="str">
        <f t="shared" si="1"/>
        <v>ĐỦ</v>
      </c>
      <c r="O3" s="4" t="str">
        <f t="shared" ca="1" si="2"/>
        <v>CÒN HẠN</v>
      </c>
      <c r="P3" s="4" t="str">
        <f t="shared" ca="1" si="3"/>
        <v>CÒN HẠN</v>
      </c>
      <c r="Q3" s="4" t="str">
        <f t="shared" ca="1" si="4"/>
        <v>CÒN HẠN</v>
      </c>
      <c r="R3" s="4" t="s">
        <v>45</v>
      </c>
      <c r="S3" s="4" t="str">
        <f t="shared" ref="S3:S8" si="5">IF(C3&gt;1000,"T1",IF(C3&gt;=500,"T2","T3"))</f>
        <v>T1</v>
      </c>
      <c r="T3" s="4" t="s">
        <v>46</v>
      </c>
      <c r="U3" s="4" t="str">
        <f t="shared" ref="U3:U8" si="6">IF(D3&lt;=250,"M3",IF(D3&lt;=1000,"M2","M1"))</f>
        <v>M2</v>
      </c>
      <c r="V3" s="4" t="s">
        <v>47</v>
      </c>
      <c r="W3" s="4" t="s">
        <v>38</v>
      </c>
      <c r="X3" s="4" t="str">
        <f t="shared" ref="X3:X8" si="7">IF(AND(R3&lt;&gt;"",T3&lt;&gt;"",W3="Có"),"PHÙ HỢP","KHÔNG PHÙ HỢP")</f>
        <v>PHÙ HỢP</v>
      </c>
      <c r="Y3" s="4" t="s">
        <v>38</v>
      </c>
      <c r="Z3" s="4"/>
    </row>
    <row r="4" spans="1:26" x14ac:dyDescent="0.3">
      <c r="A4" s="4">
        <f t="shared" si="0"/>
        <v>3</v>
      </c>
      <c r="B4" s="4" t="s">
        <v>51</v>
      </c>
      <c r="C4" s="7">
        <v>1618</v>
      </c>
      <c r="D4" s="4">
        <v>385</v>
      </c>
      <c r="E4" s="4" t="s">
        <v>52</v>
      </c>
      <c r="F4" s="8">
        <v>43131</v>
      </c>
      <c r="G4" s="4" t="s">
        <v>81</v>
      </c>
      <c r="H4" s="4" t="s">
        <v>53</v>
      </c>
      <c r="I4" s="4"/>
      <c r="J4" s="8">
        <v>46768</v>
      </c>
      <c r="K4" s="4"/>
      <c r="L4" s="4"/>
      <c r="M4" s="4"/>
      <c r="N4" s="4" t="str">
        <f t="shared" si="1"/>
        <v>THIẾU</v>
      </c>
      <c r="O4" s="4" t="str">
        <f t="shared" ca="1" si="2"/>
        <v>CÒN HẠN</v>
      </c>
      <c r="P4" s="4" t="str">
        <f t="shared" ca="1" si="3"/>
        <v>CÒN HẠN</v>
      </c>
      <c r="Q4" s="4" t="str">
        <f t="shared" ca="1" si="4"/>
        <v/>
      </c>
      <c r="R4" s="4" t="s">
        <v>54</v>
      </c>
      <c r="S4" s="4" t="str">
        <f t="shared" si="5"/>
        <v>T1</v>
      </c>
      <c r="T4" s="4" t="s">
        <v>55</v>
      </c>
      <c r="U4" s="4" t="str">
        <f t="shared" si="6"/>
        <v>M2</v>
      </c>
      <c r="V4" s="4" t="s">
        <v>56</v>
      </c>
      <c r="W4" s="4" t="s">
        <v>57</v>
      </c>
      <c r="X4" s="4" t="str">
        <f t="shared" si="7"/>
        <v>KHÔNG PHÙ HỢP</v>
      </c>
      <c r="Y4" s="4" t="s">
        <v>38</v>
      </c>
      <c r="Z4" s="4"/>
    </row>
    <row r="5" spans="1:26" x14ac:dyDescent="0.3">
      <c r="A5" s="4">
        <f t="shared" si="0"/>
        <v>4</v>
      </c>
      <c r="B5" s="4" t="s">
        <v>59</v>
      </c>
      <c r="C5" s="7">
        <v>1600</v>
      </c>
      <c r="D5" s="4">
        <v>380</v>
      </c>
      <c r="E5" s="4" t="s">
        <v>60</v>
      </c>
      <c r="F5" s="8">
        <v>42503</v>
      </c>
      <c r="G5" s="4" t="s">
        <v>81</v>
      </c>
      <c r="H5" s="4" t="s">
        <v>61</v>
      </c>
      <c r="I5" s="8">
        <v>45937</v>
      </c>
      <c r="J5" s="8">
        <v>46277</v>
      </c>
      <c r="K5" s="4">
        <v>7731971</v>
      </c>
      <c r="L5" s="8">
        <v>46292</v>
      </c>
      <c r="M5" s="8">
        <v>46292</v>
      </c>
      <c r="N5" s="4" t="str">
        <f t="shared" si="1"/>
        <v>ĐỦ</v>
      </c>
      <c r="O5" s="4" t="str">
        <f t="shared" ca="1" si="2"/>
        <v>CÒN HẠN</v>
      </c>
      <c r="P5" s="4" t="str">
        <f t="shared" ca="1" si="3"/>
        <v>CÒN HẠN</v>
      </c>
      <c r="Q5" s="4" t="str">
        <f t="shared" ca="1" si="4"/>
        <v>CÒN HẠN</v>
      </c>
      <c r="R5" s="4" t="s">
        <v>62</v>
      </c>
      <c r="S5" s="4" t="str">
        <f t="shared" si="5"/>
        <v>T1</v>
      </c>
      <c r="T5" s="4" t="s">
        <v>63</v>
      </c>
      <c r="U5" s="4" t="str">
        <f t="shared" si="6"/>
        <v>M2</v>
      </c>
      <c r="V5" s="4" t="s">
        <v>64</v>
      </c>
      <c r="W5" s="4" t="s">
        <v>38</v>
      </c>
      <c r="X5" s="4" t="str">
        <f t="shared" si="7"/>
        <v>PHÙ HỢP</v>
      </c>
      <c r="Y5" s="4" t="s">
        <v>57</v>
      </c>
      <c r="Z5" s="4"/>
    </row>
    <row r="6" spans="1:26" x14ac:dyDescent="0.3">
      <c r="A6" s="4">
        <f t="shared" si="0"/>
        <v>5</v>
      </c>
      <c r="B6" s="4" t="s">
        <v>66</v>
      </c>
      <c r="C6" s="7">
        <v>1600</v>
      </c>
      <c r="D6" s="4">
        <v>400</v>
      </c>
      <c r="E6" s="4" t="s">
        <v>67</v>
      </c>
      <c r="F6" s="8">
        <v>42887</v>
      </c>
      <c r="G6" s="4" t="s">
        <v>81</v>
      </c>
      <c r="H6" s="4" t="s">
        <v>68</v>
      </c>
      <c r="I6" s="8">
        <v>46178</v>
      </c>
      <c r="J6" s="8">
        <v>46533</v>
      </c>
      <c r="K6" s="4">
        <v>8154768</v>
      </c>
      <c r="L6" s="8">
        <v>46173</v>
      </c>
      <c r="M6" s="8">
        <v>46537</v>
      </c>
      <c r="N6" s="4" t="str">
        <f t="shared" si="1"/>
        <v>ĐỦ</v>
      </c>
      <c r="O6" s="4" t="str">
        <f t="shared" ca="1" si="2"/>
        <v>CÒN HẠN</v>
      </c>
      <c r="P6" s="4" t="str">
        <f t="shared" ca="1" si="3"/>
        <v>CÒN HẠN</v>
      </c>
      <c r="Q6" s="4" t="str">
        <f t="shared" ca="1" si="4"/>
        <v>CÒN HẠN</v>
      </c>
      <c r="R6" s="4" t="s">
        <v>69</v>
      </c>
      <c r="S6" s="4" t="str">
        <f t="shared" si="5"/>
        <v>T1</v>
      </c>
      <c r="T6" s="4" t="s">
        <v>70</v>
      </c>
      <c r="U6" s="4" t="str">
        <f t="shared" si="6"/>
        <v>M2</v>
      </c>
      <c r="V6" s="4" t="s">
        <v>71</v>
      </c>
      <c r="W6" s="4" t="s">
        <v>38</v>
      </c>
      <c r="X6" s="4" t="str">
        <f t="shared" si="7"/>
        <v>PHÙ HỢP</v>
      </c>
      <c r="Y6" s="4" t="s">
        <v>57</v>
      </c>
      <c r="Z6" s="4"/>
    </row>
    <row r="7" spans="1:26" x14ac:dyDescent="0.3">
      <c r="A7" s="4">
        <f t="shared" si="0"/>
        <v>6</v>
      </c>
      <c r="B7" s="4" t="s">
        <v>72</v>
      </c>
      <c r="C7" s="7">
        <v>1995</v>
      </c>
      <c r="D7" s="4">
        <v>385</v>
      </c>
      <c r="E7" s="4" t="s">
        <v>73</v>
      </c>
      <c r="F7" s="8">
        <v>43139</v>
      </c>
      <c r="G7" s="4" t="s">
        <v>81</v>
      </c>
      <c r="H7" s="4" t="s">
        <v>74</v>
      </c>
      <c r="I7" s="8">
        <v>46066</v>
      </c>
      <c r="J7" s="8">
        <v>46430</v>
      </c>
      <c r="K7" s="4">
        <v>7977931</v>
      </c>
      <c r="L7" s="8">
        <v>46059</v>
      </c>
      <c r="M7" s="8">
        <v>46438</v>
      </c>
      <c r="N7" s="4" t="str">
        <f t="shared" si="1"/>
        <v>ĐỦ</v>
      </c>
      <c r="O7" s="4" t="str">
        <f t="shared" ca="1" si="2"/>
        <v>CÒN HẠN</v>
      </c>
      <c r="P7" s="4" t="str">
        <f t="shared" ca="1" si="3"/>
        <v>CÒN HẠN</v>
      </c>
      <c r="Q7" s="4" t="str">
        <f t="shared" ca="1" si="4"/>
        <v>CÒN HẠN</v>
      </c>
      <c r="R7" s="4" t="s">
        <v>75</v>
      </c>
      <c r="S7" s="4" t="str">
        <f t="shared" si="5"/>
        <v>T1</v>
      </c>
      <c r="T7" s="4" t="s">
        <v>76</v>
      </c>
      <c r="U7" s="4" t="str">
        <f t="shared" si="6"/>
        <v>M2</v>
      </c>
      <c r="V7" s="4" t="s">
        <v>77</v>
      </c>
      <c r="W7" s="4" t="s">
        <v>38</v>
      </c>
      <c r="X7" s="4" t="str">
        <f t="shared" si="7"/>
        <v>PHÙ HỢP</v>
      </c>
      <c r="Y7" s="4" t="s">
        <v>57</v>
      </c>
      <c r="Z7" s="4"/>
    </row>
    <row r="8" spans="1:26" x14ac:dyDescent="0.3">
      <c r="A8" s="4">
        <f t="shared" si="0"/>
        <v>7</v>
      </c>
      <c r="B8" s="4" t="s">
        <v>78</v>
      </c>
      <c r="C8" s="7">
        <v>1200</v>
      </c>
      <c r="D8" s="4">
        <v>355</v>
      </c>
      <c r="E8" s="4" t="s">
        <v>79</v>
      </c>
      <c r="F8" s="8">
        <v>43732</v>
      </c>
      <c r="G8" s="4" t="s">
        <v>81</v>
      </c>
      <c r="H8" s="4" t="s">
        <v>80</v>
      </c>
      <c r="I8" s="8">
        <v>45967</v>
      </c>
      <c r="J8" s="8">
        <v>46331</v>
      </c>
      <c r="K8" s="4">
        <v>7975404</v>
      </c>
      <c r="L8" s="8">
        <v>46058</v>
      </c>
      <c r="M8" s="8">
        <v>46438</v>
      </c>
      <c r="N8" s="4" t="str">
        <f t="shared" si="1"/>
        <v>ĐỦ</v>
      </c>
      <c r="O8" s="4" t="str">
        <f t="shared" ca="1" si="2"/>
        <v>CÒN HẠN</v>
      </c>
      <c r="P8" s="4" t="str">
        <f t="shared" ca="1" si="3"/>
        <v>CÒN HẠN</v>
      </c>
      <c r="Q8" s="4" t="str">
        <f t="shared" ca="1" si="4"/>
        <v>CÒN HẠN</v>
      </c>
      <c r="R8" s="4" t="s">
        <v>82</v>
      </c>
      <c r="S8" s="4" t="str">
        <f t="shared" si="5"/>
        <v>T1</v>
      </c>
      <c r="T8" s="4" t="s">
        <v>83</v>
      </c>
      <c r="U8" s="4" t="str">
        <f t="shared" si="6"/>
        <v>M2</v>
      </c>
      <c r="V8" s="4" t="s">
        <v>84</v>
      </c>
      <c r="W8" s="4" t="s">
        <v>38</v>
      </c>
      <c r="X8" s="4" t="str">
        <f t="shared" si="7"/>
        <v>PHÙ HỢP</v>
      </c>
      <c r="Y8" s="4" t="s">
        <v>38</v>
      </c>
      <c r="Z8" s="4"/>
    </row>
  </sheetData>
  <dataValidations count="1">
    <dataValidation type="list" sqref="Y2:Y8 W2:W8" xr:uid="{584CE58A-6625-4A71-80DC-3BB9FBC87D42}">
      <formula1>"Có,Không"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8"/>
  <sheetViews>
    <sheetView zoomScale="85" zoomScaleNormal="85" workbookViewId="0">
      <pane ySplit="1" topLeftCell="A2" activePane="bottomLeft" state="frozen"/>
      <selection pane="bottomLeft" activeCell="G17" sqref="G17"/>
    </sheetView>
  </sheetViews>
  <sheetFormatPr defaultColWidth="8.77734375" defaultRowHeight="13.8" x14ac:dyDescent="0.3"/>
  <cols>
    <col min="1" max="1" width="4.6640625" style="2" bestFit="1" customWidth="1"/>
    <col min="2" max="2" width="12.5546875" style="2" customWidth="1"/>
    <col min="3" max="3" width="14.21875" style="11" customWidth="1"/>
    <col min="4" max="4" width="14.21875" style="2" customWidth="1"/>
    <col min="5" max="5" width="13.88671875" style="2" customWidth="1"/>
    <col min="6" max="6" width="20" style="2" customWidth="1"/>
    <col min="7" max="7" width="15.44140625" style="2" customWidth="1"/>
    <col min="8" max="8" width="15.6640625" style="2" customWidth="1"/>
    <col min="9" max="9" width="17.77734375" style="2" customWidth="1"/>
    <col min="10" max="10" width="14.44140625" style="2" customWidth="1"/>
    <col min="11" max="11" width="19.5546875" style="2" customWidth="1"/>
    <col min="12" max="12" width="17.88671875" style="2" bestFit="1" customWidth="1"/>
    <col min="13" max="16384" width="8.77734375" style="2"/>
  </cols>
  <sheetData>
    <row r="1" spans="1:12" ht="37.5" customHeight="1" x14ac:dyDescent="0.3">
      <c r="A1" s="3" t="s">
        <v>0</v>
      </c>
      <c r="B1" s="3" t="s">
        <v>48</v>
      </c>
      <c r="C1" s="3" t="s">
        <v>20</v>
      </c>
      <c r="D1" s="3" t="s">
        <v>49</v>
      </c>
      <c r="E1" s="3" t="s">
        <v>21</v>
      </c>
      <c r="F1" s="3" t="s">
        <v>1</v>
      </c>
      <c r="G1" s="3" t="s">
        <v>2</v>
      </c>
      <c r="H1" s="3" t="s">
        <v>22</v>
      </c>
      <c r="I1" s="3" t="s">
        <v>23</v>
      </c>
      <c r="J1" s="3" t="s">
        <v>24</v>
      </c>
      <c r="K1" s="3" t="s">
        <v>32</v>
      </c>
      <c r="L1" s="3" t="s">
        <v>25</v>
      </c>
    </row>
    <row r="2" spans="1:12" x14ac:dyDescent="0.3">
      <c r="A2" s="4">
        <f t="shared" ref="A2:A5" si="0">ROW()-1</f>
        <v>1</v>
      </c>
      <c r="B2" s="8">
        <v>46212</v>
      </c>
      <c r="C2" s="10">
        <v>0.9604166666666667</v>
      </c>
      <c r="D2" s="8">
        <v>46213</v>
      </c>
      <c r="E2" s="10">
        <v>0.86805555555555558</v>
      </c>
      <c r="F2" s="4" t="s">
        <v>33</v>
      </c>
      <c r="G2" s="4" t="str">
        <f>IFERROR(_xlfn.XLOOKUP(F2,'Hồ sơ phương tiện'!$B:$B,'Hồ sơ phương tiện'!$E:$E),"")</f>
        <v>5785/ĐK</v>
      </c>
      <c r="H2" s="4" t="s">
        <v>40</v>
      </c>
      <c r="I2" s="4"/>
      <c r="J2" s="4" t="str">
        <f>IFERROR(_xlfn.XLOOKUP(F2,'Hồ sơ phương tiện'!$B:$B,'Hồ sơ phương tiện'!$N:$N),"")</f>
        <v>ĐỦ</v>
      </c>
      <c r="K2" s="4" t="str">
        <f>IFERROR(_xlfn.XLOOKUP(F2,'Hồ sơ phương tiện'!$B:$B,'Hồ sơ phương tiện'!$X:$X),"")</f>
        <v>PHÙ HỢP</v>
      </c>
      <c r="L2" s="4" t="str">
        <f t="shared" ref="L2:L3" si="1">IF(AND(J2="Đủ",K2="PHÙ HỢP"),"CHO PHÉP","KHÔNG ĐỦ HỒ SƠ")</f>
        <v>CHO PHÉP</v>
      </c>
    </row>
    <row r="3" spans="1:12" x14ac:dyDescent="0.3">
      <c r="A3" s="4">
        <f t="shared" si="0"/>
        <v>2</v>
      </c>
      <c r="B3" s="8">
        <v>46213</v>
      </c>
      <c r="C3" s="10">
        <v>0.68055555555555558</v>
      </c>
      <c r="D3" s="8">
        <v>46214</v>
      </c>
      <c r="E3" s="10">
        <v>0.57638888888888884</v>
      </c>
      <c r="F3" s="4" t="s">
        <v>42</v>
      </c>
      <c r="G3" s="4" t="str">
        <f>IFERROR(_xlfn.XLOOKUP(F3,'Hồ sơ phương tiện'!$B:$B,'Hồ sơ phương tiện'!$E:$E),"")</f>
        <v>14008/ĐK</v>
      </c>
      <c r="H3" s="4" t="s">
        <v>40</v>
      </c>
      <c r="I3" s="4"/>
      <c r="J3" s="4" t="str">
        <f>IFERROR(_xlfn.XLOOKUP(F3,'Hồ sơ phương tiện'!$B:$B,'Hồ sơ phương tiện'!$N:$N),"")</f>
        <v>ĐỦ</v>
      </c>
      <c r="K3" s="4" t="str">
        <f>IFERROR(_xlfn.XLOOKUP(F3,'Hồ sơ phương tiện'!$B:$B,'Hồ sơ phương tiện'!$X:$X),"")</f>
        <v>PHÙ HỢP</v>
      </c>
      <c r="L3" s="4" t="str">
        <f t="shared" si="1"/>
        <v>CHO PHÉP</v>
      </c>
    </row>
    <row r="4" spans="1:12" x14ac:dyDescent="0.3">
      <c r="A4" s="4">
        <f t="shared" si="0"/>
        <v>3</v>
      </c>
      <c r="B4" s="8">
        <v>46214</v>
      </c>
      <c r="C4" s="10">
        <v>0.11597222222222223</v>
      </c>
      <c r="D4" s="8">
        <v>46216</v>
      </c>
      <c r="E4" s="10">
        <v>0.6386574074074074</v>
      </c>
      <c r="F4" s="4" t="s">
        <v>51</v>
      </c>
      <c r="G4" s="4" t="str">
        <f>IFERROR(_xlfn.XLOOKUP(F4,'Hồ sơ phương tiện'!$B:$B,'Hồ sơ phương tiện'!$E:$E),"")</f>
        <v>14473/ĐK</v>
      </c>
      <c r="H4" s="4" t="s">
        <v>50</v>
      </c>
      <c r="I4" s="4"/>
      <c r="J4" s="4" t="str">
        <f>IFERROR(_xlfn.XLOOKUP(F4,'Hồ sơ phương tiện'!$B:$B,'Hồ sơ phương tiện'!$N:$N),"")</f>
        <v>THIẾU</v>
      </c>
      <c r="K4" s="4" t="str">
        <f>IFERROR(_xlfn.XLOOKUP(F4,'Hồ sơ phương tiện'!$B:$B,'Hồ sơ phương tiện'!$X:$X),"")</f>
        <v>KHÔNG PHÙ HỢP</v>
      </c>
      <c r="L4" s="4" t="str">
        <f>IF(AND(J4="Đủ",K4="PHÙ HỢP"),"CHO PHÉP","KHÔNG CHO PHÉP")</f>
        <v>KHÔNG CHO PHÉP</v>
      </c>
    </row>
    <row r="5" spans="1:12" x14ac:dyDescent="0.3">
      <c r="A5" s="4">
        <f t="shared" si="0"/>
        <v>4</v>
      </c>
      <c r="B5" s="8">
        <v>46214</v>
      </c>
      <c r="C5" s="10">
        <v>0.4826388888888889</v>
      </c>
      <c r="D5" s="8">
        <v>46215</v>
      </c>
      <c r="E5" s="10">
        <v>0.35606481481481483</v>
      </c>
      <c r="F5" s="4" t="s">
        <v>59</v>
      </c>
      <c r="G5" s="4" t="str">
        <f>IFERROR(_xlfn.XLOOKUP(F5,'Hồ sơ phương tiện'!$B:$B,'Hồ sơ phương tiện'!$E:$E),"")</f>
        <v>1803/ĐK</v>
      </c>
      <c r="H5" s="4" t="s">
        <v>65</v>
      </c>
      <c r="I5" s="4"/>
      <c r="J5" s="4" t="str">
        <f>IFERROR(_xlfn.XLOOKUP(F5,'Hồ sơ phương tiện'!$B:$B,'Hồ sơ phương tiện'!$N:$N),"")</f>
        <v>ĐỦ</v>
      </c>
      <c r="K5" s="4" t="str">
        <f>IFERROR(_xlfn.XLOOKUP(F5,'Hồ sơ phương tiện'!$B:$B,'Hồ sơ phương tiện'!$X:$X),"")</f>
        <v>PHÙ HỢP</v>
      </c>
      <c r="L5" s="4" t="str">
        <f t="shared" ref="L5:L8" si="2">IF(AND(J5="Đủ",K5="PHÙ HỢP"),"CHO PHÉP","KHÔNG CHO PHÉP")</f>
        <v>CHO PHÉP</v>
      </c>
    </row>
    <row r="6" spans="1:12" x14ac:dyDescent="0.3">
      <c r="A6" s="4">
        <f t="shared" ref="A6:A8" si="3">ROW()-1</f>
        <v>5</v>
      </c>
      <c r="B6" s="8">
        <v>46215</v>
      </c>
      <c r="C6" s="10">
        <v>0.32847222222222222</v>
      </c>
      <c r="D6" s="8">
        <v>46216</v>
      </c>
      <c r="E6" s="10">
        <v>0.36038194444444444</v>
      </c>
      <c r="F6" s="4" t="s">
        <v>66</v>
      </c>
      <c r="G6" s="4" t="str">
        <f>IFERROR(_xlfn.XLOOKUP(F6,'Hồ sơ phương tiện'!$B:$B,'Hồ sơ phương tiện'!$E:$E),"")</f>
        <v>6537/ĐK</v>
      </c>
      <c r="H6" s="4" t="s">
        <v>65</v>
      </c>
      <c r="I6" s="4"/>
      <c r="J6" s="4" t="str">
        <f>IFERROR(_xlfn.XLOOKUP(F6,'Hồ sơ phương tiện'!$B:$B,'Hồ sơ phương tiện'!$N:$N),"")</f>
        <v>ĐỦ</v>
      </c>
      <c r="K6" s="4" t="str">
        <f>IFERROR(_xlfn.XLOOKUP(F6,'Hồ sơ phương tiện'!$B:$B,'Hồ sơ phương tiện'!$X:$X),"")</f>
        <v>PHÙ HỢP</v>
      </c>
      <c r="L6" s="4" t="str">
        <f t="shared" si="2"/>
        <v>CHO PHÉP</v>
      </c>
    </row>
    <row r="7" spans="1:12" x14ac:dyDescent="0.3">
      <c r="A7" s="4">
        <f t="shared" si="3"/>
        <v>6</v>
      </c>
      <c r="B7" s="8">
        <v>46216</v>
      </c>
      <c r="C7" s="10">
        <v>0.39583333333333331</v>
      </c>
      <c r="D7" s="8">
        <v>46217</v>
      </c>
      <c r="E7" s="10">
        <v>0.68472222222222223</v>
      </c>
      <c r="F7" s="4" t="s">
        <v>72</v>
      </c>
      <c r="G7" s="4" t="str">
        <f>IFERROR(_xlfn.XLOOKUP(F7,'Hồ sơ phương tiện'!$B:$B,'Hồ sơ phương tiện'!$E:$E),"")</f>
        <v>1554/ĐK</v>
      </c>
      <c r="H7" s="4" t="s">
        <v>65</v>
      </c>
      <c r="I7" s="4"/>
      <c r="J7" s="4" t="str">
        <f>IFERROR(_xlfn.XLOOKUP(F7,'Hồ sơ phương tiện'!$B:$B,'Hồ sơ phương tiện'!$N:$N),"")</f>
        <v>ĐỦ</v>
      </c>
      <c r="K7" s="4" t="str">
        <f>IFERROR(_xlfn.XLOOKUP(F7,'Hồ sơ phương tiện'!$B:$B,'Hồ sơ phương tiện'!$X:$X),"")</f>
        <v>PHÙ HỢP</v>
      </c>
      <c r="L7" s="4" t="str">
        <f t="shared" si="2"/>
        <v>CHO PHÉP</v>
      </c>
    </row>
    <row r="8" spans="1:12" x14ac:dyDescent="0.3">
      <c r="A8" s="4">
        <f t="shared" si="3"/>
        <v>7</v>
      </c>
      <c r="B8" s="8">
        <v>46216</v>
      </c>
      <c r="C8" s="10">
        <v>0.90277777777777779</v>
      </c>
      <c r="D8" s="4"/>
      <c r="E8" s="10"/>
      <c r="F8" s="4" t="s">
        <v>78</v>
      </c>
      <c r="G8" s="4" t="str">
        <f>IFERROR(_xlfn.XLOOKUP(F8,'Hồ sơ phương tiện'!$B:$B,'Hồ sơ phương tiện'!$E:$E),"")</f>
        <v>8604/ĐK</v>
      </c>
      <c r="H8" s="4" t="s">
        <v>65</v>
      </c>
      <c r="I8" s="4"/>
      <c r="J8" s="4" t="str">
        <f>IFERROR(_xlfn.XLOOKUP(F8,'Hồ sơ phương tiện'!$B:$B,'Hồ sơ phương tiện'!$N:$N),"")</f>
        <v>ĐỦ</v>
      </c>
      <c r="K8" s="4" t="str">
        <f>IFERROR(_xlfn.XLOOKUP(F8,'Hồ sơ phương tiện'!$B:$B,'Hồ sơ phương tiện'!$X:$X),"")</f>
        <v>PHÙ HỢP</v>
      </c>
      <c r="L8" s="4" t="str">
        <f t="shared" si="2"/>
        <v>CHO PHÉP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4"/>
  <sheetViews>
    <sheetView workbookViewId="0">
      <pane ySplit="1" topLeftCell="A2" activePane="bottomLeft" state="frozen"/>
      <selection pane="bottomLeft" activeCell="A12" sqref="A12"/>
    </sheetView>
  </sheetViews>
  <sheetFormatPr defaultRowHeight="14.4" x14ac:dyDescent="0.3"/>
  <cols>
    <col min="1" max="1" width="66.5546875" customWidth="1"/>
    <col min="2" max="2" width="34.77734375" customWidth="1"/>
  </cols>
  <sheetData>
    <row r="1" spans="1:2" ht="33.450000000000003" customHeight="1" x14ac:dyDescent="0.3">
      <c r="A1" s="12" t="s">
        <v>30</v>
      </c>
      <c r="B1" s="12"/>
    </row>
    <row r="2" spans="1:2" x14ac:dyDescent="0.3">
      <c r="A2" s="6" t="s">
        <v>26</v>
      </c>
      <c r="B2" s="6">
        <f>COUNTIF('Hồ sơ phương tiện'!N:N,"ĐỦ")</f>
        <v>6</v>
      </c>
    </row>
    <row r="3" spans="1:2" x14ac:dyDescent="0.3">
      <c r="A3" s="6" t="s">
        <v>27</v>
      </c>
      <c r="B3" s="6">
        <f>COUNTIF('Hồ sơ phương tiện'!N:N,"THIẾU")</f>
        <v>1</v>
      </c>
    </row>
    <row r="4" spans="1:2" x14ac:dyDescent="0.3">
      <c r="A4" s="6" t="s">
        <v>28</v>
      </c>
      <c r="B4" s="6">
        <f>COUNTA('Nhật ký vào, rời'!B2:B8)</f>
        <v>7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Hồ sơ phương tiện</vt:lpstr>
      <vt:lpstr>Nhật ký vào, rời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TVPL-NgocAnh</cp:lastModifiedBy>
  <dcterms:created xsi:type="dcterms:W3CDTF">2026-07-09T04:19:15Z</dcterms:created>
  <dcterms:modified xsi:type="dcterms:W3CDTF">2026-07-15T15:49:04Z</dcterms:modified>
</cp:coreProperties>
</file>